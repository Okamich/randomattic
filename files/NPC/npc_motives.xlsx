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Проекты\!настолочки мои\DnD\5 редакция\полезное\RandomGenerators\случайный НИП\self_tables\npc_motives\"/>
    </mc:Choice>
  </mc:AlternateContent>
  <xr:revisionPtr revIDLastSave="0" documentId="13_ncr:1_{CB55110C-B156-4396-AEB2-12A5097A5F3C}" xr6:coauthVersionLast="47" xr6:coauthVersionMax="47" xr10:uidLastSave="{00000000-0000-0000-0000-000000000000}"/>
  <bookViews>
    <workbookView xWindow="-105" yWindow="0" windowWidth="14610" windowHeight="15585" tabRatio="828" activeTab="2" xr2:uid="{00000000-000D-0000-FFFF-FFFF00000000}"/>
  </bookViews>
  <sheets>
    <sheet name="MAIN" sheetId="34" r:id="rId1"/>
    <sheet name="Reaction" sheetId="1" r:id="rId2"/>
    <sheet name="Motivation" sheetId="2" r:id="rId3"/>
    <sheet name="Area" sheetId="3" r:id="rId4"/>
    <sheet name="A" sheetId="4" r:id="rId5"/>
    <sheet name="B" sheetId="5" r:id="rId6"/>
    <sheet name="C" sheetId="6" r:id="rId7"/>
    <sheet name="C_ITEMS" sheetId="33" r:id="rId8"/>
    <sheet name="D" sheetId="7" r:id="rId9"/>
    <sheet name="E" sheetId="9" r:id="rId10"/>
    <sheet name="F" sheetId="10" r:id="rId11"/>
    <sheet name="G" sheetId="11" r:id="rId12"/>
    <sheet name="H" sheetId="12" r:id="rId13"/>
    <sheet name="I" sheetId="13" r:id="rId14"/>
    <sheet name="J" sheetId="14" r:id="rId15"/>
    <sheet name="K" sheetId="15" r:id="rId16"/>
    <sheet name="L" sheetId="16" r:id="rId17"/>
    <sheet name="M" sheetId="17" r:id="rId18"/>
    <sheet name="N" sheetId="18" r:id="rId19"/>
    <sheet name="O" sheetId="19" r:id="rId20"/>
    <sheet name="P" sheetId="20" r:id="rId21"/>
    <sheet name="Q" sheetId="21" r:id="rId22"/>
    <sheet name="R" sheetId="22" r:id="rId23"/>
    <sheet name="S" sheetId="23" r:id="rId24"/>
    <sheet name="T" sheetId="24" r:id="rId25"/>
    <sheet name="U" sheetId="25" r:id="rId26"/>
    <sheet name="V" sheetId="26" r:id="rId27"/>
    <sheet name="W" sheetId="27" r:id="rId28"/>
    <sheet name="X" sheetId="28" r:id="rId29"/>
    <sheet name="Y" sheetId="29" r:id="rId30"/>
    <sheet name="Z" sheetId="30" r:id="rId31"/>
    <sheet name="AA" sheetId="31" r:id="rId32"/>
    <sheet name="BB" sheetId="8" r:id="rId33"/>
    <sheet name="CC" sheetId="32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4" l="1"/>
  <c r="G28" i="33" l="1"/>
  <c r="C28" i="33"/>
  <c r="A28" i="33"/>
  <c r="E28" i="33"/>
  <c r="G13" i="33"/>
  <c r="C13" i="33"/>
  <c r="E13" i="33"/>
  <c r="E29" i="33"/>
  <c r="F29" i="33" s="1" a="1"/>
  <c r="C8" i="6" s="1"/>
  <c r="C14" i="33"/>
  <c r="D14" i="33" s="1" a="1"/>
  <c r="C3" i="6" s="1"/>
  <c r="A10" i="6"/>
  <c r="A11" i="6" s="1"/>
  <c r="A13" i="33"/>
  <c r="A14" i="33" s="1"/>
  <c r="B14" i="33" s="1" a="1"/>
  <c r="C2" i="6" s="1"/>
  <c r="A9" i="3"/>
  <c r="A10" i="3" s="1"/>
  <c r="B10" i="3" s="1" a="1"/>
  <c r="B5" i="34" s="1"/>
  <c r="A9" i="5"/>
  <c r="A10" i="5" s="1"/>
  <c r="B10" i="5" s="1" a="1"/>
  <c r="A9" i="7"/>
  <c r="A10" i="7" s="1"/>
  <c r="B10" i="7" s="1" a="1"/>
  <c r="A9" i="9"/>
  <c r="A10" i="9" s="1"/>
  <c r="B10" i="9" s="1" a="1"/>
  <c r="A9" i="10"/>
  <c r="A10" i="10" s="1"/>
  <c r="B10" i="10" s="1" a="1"/>
  <c r="A9" i="11"/>
  <c r="A10" i="11" s="1"/>
  <c r="B10" i="11" s="1" a="1"/>
  <c r="A9" i="12"/>
  <c r="A10" i="12" s="1"/>
  <c r="B10" i="12" s="1" a="1"/>
  <c r="A9" i="13"/>
  <c r="A10" i="13" s="1"/>
  <c r="B10" i="13" s="1" a="1"/>
  <c r="A9" i="14"/>
  <c r="A10" i="14" s="1"/>
  <c r="B10" i="14" s="1" a="1"/>
  <c r="A9" i="15"/>
  <c r="A10" i="15" s="1"/>
  <c r="B10" i="15" s="1" a="1"/>
  <c r="A9" i="16"/>
  <c r="A10" i="16" s="1"/>
  <c r="B10" i="16" s="1" a="1"/>
  <c r="A9" i="17"/>
  <c r="A10" i="17" s="1"/>
  <c r="B10" i="17" s="1" a="1"/>
  <c r="A9" i="18"/>
  <c r="A10" i="18" s="1"/>
  <c r="B10" i="18" s="1" a="1"/>
  <c r="A9" i="19"/>
  <c r="A10" i="19" s="1"/>
  <c r="B10" i="19" s="1" a="1"/>
  <c r="A9" i="22"/>
  <c r="A10" i="22" s="1"/>
  <c r="B10" i="22" s="1" a="1"/>
  <c r="A9" i="23"/>
  <c r="A10" i="23" s="1"/>
  <c r="B10" i="23" s="1" a="1"/>
  <c r="A9" i="24"/>
  <c r="A10" i="24" s="1"/>
  <c r="B10" i="24" s="1" a="1"/>
  <c r="A9" i="25"/>
  <c r="A10" i="25" s="1"/>
  <c r="B10" i="25" s="1" a="1"/>
  <c r="A9" i="28"/>
  <c r="A10" i="28" s="1"/>
  <c r="B10" i="28" s="1" a="1"/>
  <c r="A9" i="29"/>
  <c r="A10" i="29" s="1"/>
  <c r="B10" i="29" s="1" a="1"/>
  <c r="A9" i="31"/>
  <c r="A10" i="31" s="1"/>
  <c r="B10" i="31" s="1" a="1"/>
  <c r="A9" i="32"/>
  <c r="A10" i="32" s="1"/>
  <c r="B10" i="32" s="1" a="1"/>
  <c r="A9" i="21"/>
  <c r="A10" i="21" s="1"/>
  <c r="B10" i="21" s="1" a="1"/>
  <c r="A9" i="4"/>
  <c r="A10" i="4" s="1"/>
  <c r="B10" i="4" s="1" a="1"/>
  <c r="A9" i="20"/>
  <c r="A10" i="20" s="1"/>
  <c r="B10" i="20" s="1" a="1"/>
  <c r="A9" i="26"/>
  <c r="A10" i="26" s="1"/>
  <c r="B10" i="26" s="1" a="1"/>
  <c r="A9" i="27"/>
  <c r="A10" i="27" s="1"/>
  <c r="B10" i="27" s="1" a="1"/>
  <c r="A9" i="30"/>
  <c r="A10" i="30" s="1"/>
  <c r="B10" i="30" s="1" a="1"/>
  <c r="A9" i="8"/>
  <c r="A10" i="8" s="1"/>
  <c r="B10" i="8" s="1" a="1"/>
  <c r="A9" i="1"/>
  <c r="A10" i="1" s="1"/>
  <c r="B10" i="1" s="1" a="1"/>
  <c r="B3" i="34" s="1"/>
  <c r="A9" i="2"/>
  <c r="A10" i="2" s="1"/>
  <c r="B10" i="2" s="1" a="1"/>
  <c r="B4" i="34" s="1"/>
  <c r="A29" i="33" l="1"/>
  <c r="B29" i="33" s="1" a="1"/>
  <c r="C6" i="6" s="1"/>
  <c r="E14" i="33"/>
  <c r="F14" i="33" s="1" a="1"/>
  <c r="C4" i="6" s="1"/>
  <c r="B11" i="6" a="1"/>
  <c r="C29" i="33"/>
  <c r="D29" i="33" s="1" a="1"/>
  <c r="C7" i="6" s="1"/>
  <c r="G29" i="33"/>
  <c r="H29" i="33" s="1" a="1"/>
  <c r="C9" i="6" s="1"/>
  <c r="G14" i="33"/>
  <c r="H14" i="33" s="1" a="1"/>
  <c r="C5" i="6" s="1"/>
  <c r="C11" i="6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<sst xmlns="http://schemas.openxmlformats.org/spreadsheetml/2006/main" count="663" uniqueCount="325">
  <si>
    <t>d20</t>
  </si>
  <si>
    <t>Reaction</t>
  </si>
  <si>
    <t>1-3</t>
  </si>
  <si>
    <t>4-6</t>
  </si>
  <si>
    <t>7-9</t>
  </si>
  <si>
    <t>10-12</t>
  </si>
  <si>
    <t>13-15</t>
  </si>
  <si>
    <t>16-18</t>
  </si>
  <si>
    <t>19-20</t>
  </si>
  <si>
    <t>Motivation</t>
  </si>
  <si>
    <t>Searching for Personal Information (A), Local Information (B), or Item Information (C).</t>
  </si>
  <si>
    <t>Buying or Selling (K) at nearby location, then returning Home (L).</t>
  </si>
  <si>
    <t>On local Minor Quest (M) for Treasure (U).</t>
  </si>
  <si>
    <t>On Minor Quest (M) or Major Quest (N) for Minor Enemy (Q).</t>
  </si>
  <si>
    <t>On Major Quest (N) for Treasure (U).</t>
  </si>
  <si>
    <t>Area/Site</t>
  </si>
  <si>
    <t>Faithtouched (AA) or Weavetouched (BB).</t>
  </si>
  <si>
    <t>Home to evil or neutral Faction (D).</t>
  </si>
  <si>
    <t>Home to Monster (Roll on Own Encounter Table). Nearby: Minor Treasure (U).</t>
  </si>
  <si>
    <t>Benign area of NPC population or abandoned site. No treasure.</t>
  </si>
  <si>
    <t>Home to good or neutral Faction (D).</t>
  </si>
  <si>
    <t>Home to Monster (Roll on Own Encounter Table). Nearby: Major Treasure (U).</t>
  </si>
  <si>
    <t>Haunted (S) or Cursed (T).</t>
  </si>
  <si>
    <t>Бросок</t>
  </si>
  <si>
    <t>Описание</t>
  </si>
  <si>
    <t>Gives a secret that leads to Major Boon (G).</t>
  </si>
  <si>
    <t>Describes a family Emergency (V).</t>
  </si>
  <si>
    <t>Passes along a rumor (check Ladder) about the PC as told by a friend, a Minor Enemy (Q), or a Major Enemy (R).</t>
  </si>
  <si>
    <t>Gives information that confirms a suspicion held by the PC or the party.</t>
  </si>
  <si>
    <t>Passes along a minor Warning (W) that concerns the PC or the party.</t>
  </si>
  <si>
    <t>Gives Exact Knowledge about information the PC or party has been investigating.</t>
  </si>
  <si>
    <t>Passes along knowledge of a major Warning (W) to the PC or party.</t>
  </si>
  <si>
    <t>Tells of a Major Boon (G) concerning the area.</t>
  </si>
  <si>
    <t>Tells of an Emergency (V).</t>
  </si>
  <si>
    <t>Passes along knowledge of a Social Event (X).</t>
  </si>
  <si>
    <t>Gives information about a Minor Enemy (Q) or a Major Enemy (R) threat.</t>
  </si>
  <si>
    <t>Passes along information of a Political Event (Y).</t>
  </si>
  <si>
    <t>Gives information about a Religious Event (Z).</t>
  </si>
  <si>
    <t>Tells of a Major Bane (F).</t>
  </si>
  <si>
    <t>1-2</t>
  </si>
  <si>
    <t>An artifact (d10): 1. arcane; 2. dwarvish; 3. elemental; 4. elvish; 5. giant; 6. holy; 7. relic of a hero; 8. relic of a villain; 9. unholy; 10. a piece of an item set.</t>
  </si>
  <si>
    <t>3-4</t>
  </si>
  <si>
    <t>An object (d6): 1. A piece of jewelry; 2. A chest; 3. A map; 4. A bucket; 5. A lantern; 6. A jar.</t>
  </si>
  <si>
    <t>5-6</t>
  </si>
  <si>
    <t>A book (d6): 1. bestiary; 2. potion recipes; 3. historical record; 4. holy scripture; 5. personal journal; 6. mage's spellbook.</t>
  </si>
  <si>
    <t>Armor (d10): 1. leather helm; 2. steel helm; 3. leather baldric; 4. bronze breastplate; 5. steel breastplate; 6. chain shirt; 7. leather gloves; 8. steel gauntlets; 9. suit of chainmail; 10. suit of plate.</t>
  </si>
  <si>
    <t>A weapon or piece of ammunition (d10): 1. dagger; 2. spear; 3. axe; 4. sword; 5. flail; 6. hammer; 7. bow; 8. crossbow; 9. arrow or bolt; 10. exotic weapon.</t>
  </si>
  <si>
    <t>An implement or symbol of power (d6): 1. rod; 2. staff; 3. wand; 4. sceptre; 5. crown; 6. gemstone.</t>
  </si>
  <si>
    <t>A work of art (d6): 1. statue; 2. painting; 3. musical instrument; 4. sheet music; 5. article of clothing.</t>
  </si>
  <si>
    <t>A prosthesis (d6): 1. arm; 2. eye; 3. foot; 4. hand; 5. heart; 6. leg.</t>
  </si>
  <si>
    <t>A Mystery Cult (CC).</t>
  </si>
  <si>
    <t>Slavers or brutal overlords.</t>
  </si>
  <si>
    <t>Religious warriors or clerics.</t>
  </si>
  <si>
    <t>Law and justice officers or warriors.</t>
  </si>
  <si>
    <t>Corrupt mercenaries or rogues.</t>
  </si>
  <si>
    <t>Merchants collective or guild.</t>
  </si>
  <si>
    <t>Cabal of mages.</t>
  </si>
  <si>
    <t>A living mask of a Jester can be found here, hidden, but waiting. The parasite sleeps.</t>
  </si>
  <si>
    <t>All skills relating to the practice of the arcane mysteries are more easily accomplished (+1 or advantage).</t>
  </si>
  <si>
    <t>Time and space are on vacation here. Non-causality is a possibility. Things might get dimensionally weird, and non-Euclidian geometry abounds.</t>
  </si>
  <si>
    <t>All arcane objects are recharged here, but they can only be used once per item per location.</t>
  </si>
  <si>
    <t>Astral and ethereal creatures are feeding from this bountiful font. They are hostile.</t>
  </si>
  <si>
    <t>All arcane spells are cast here as if the caster were 1 level higher.</t>
  </si>
  <si>
    <t>Wild magic regularly spawns here, bathing the area with random level spells and duration.</t>
  </si>
  <si>
    <t>Disease or pestilence.</t>
  </si>
  <si>
    <t>The destruction of one or more buildings.</t>
  </si>
  <si>
    <t>A Minor Enemy (Q) or a Major Enemy (R) of the PC or party is actively opposing them.</t>
  </si>
  <si>
    <t>The loss of items of value.</t>
  </si>
  <si>
    <t>A Curse (T) has been activated.</t>
  </si>
  <si>
    <t>People being injured.</t>
  </si>
  <si>
    <t>A person or place being Haunted (S).</t>
  </si>
  <si>
    <t>Bad luck (random penalties or disadvantage to random die rolls) for 1 month or 10 combat encounters.</t>
  </si>
  <si>
    <t>The outbreak of large plague or pestilence.</t>
  </si>
  <si>
    <t>A large loss of monetary wealth.</t>
  </si>
  <si>
    <t>The loss or destruction of many items of value.</t>
  </si>
  <si>
    <t>The destruction of many buildings or damage to the land itself.</t>
  </si>
  <si>
    <t>The deaths of many people.</t>
  </si>
  <si>
    <t>The PC or party attracting the attention of a Minor Enemy (Q) or a Major Enemy (R).</t>
  </si>
  <si>
    <t>Learning that a Minor Enemy (Q) or a Major Enemy (R) has been temporarily thwarted.</t>
  </si>
  <si>
    <t>Obtaining a minor magic item.</t>
  </si>
  <si>
    <t>Obtaining a small amount of money or resources.</t>
  </si>
  <si>
    <t>Obtaining a magicked gemstone (the wielder can use a 0-level spell or Cantrip 1/day as a level 1 caster).</t>
  </si>
  <si>
    <t>Being awarded a minor property or granted an improvement to a minor property.</t>
  </si>
  <si>
    <t>Establishing a personal relationship with a potential ally or increasing social status with ally.</t>
  </si>
  <si>
    <t>For one day, all activities are easier (+1 bonus on all rolls).</t>
  </si>
  <si>
    <t>Divine intervention granting a Treasure (U).</t>
  </si>
  <si>
    <t>Obtaining true knowledge of a Treasure (U) location.</t>
  </si>
  <si>
    <t>Being granted a large amount of monetary wealth.</t>
  </si>
  <si>
    <t>Improving an existing skill or knowledge (+1) or obtaining a new skill.</t>
  </si>
  <si>
    <t>Improving a personal relationship (up to 100%).</t>
  </si>
  <si>
    <t>Being awarded a major property or granted an improvement to a major property.</t>
  </si>
  <si>
    <t>The PC or party being pointed towards an Artifact (C) (Specific on the Rumor Ladder).</t>
  </si>
  <si>
    <t>Accusers. The NPC was wrongfully jailed or persecuted.</t>
  </si>
  <si>
    <t>Members of a specific race. The NPC is on a racial crusade.</t>
  </si>
  <si>
    <t>Thieves or fraudsters. The NPC was the victim of theft or deception.</t>
  </si>
  <si>
    <t>Murderers. The NPC seeks to avenge the death of one or more friends, family members, or associates.</t>
  </si>
  <si>
    <t>Religious crusaders. The NPC was ruined by a religious crusade or suffered religious persecution (locally or on a quest).</t>
  </si>
  <si>
    <t>Political opponents. The NPC suffered political persecution.</t>
  </si>
  <si>
    <t>Societal rivals. The NPC's social status was destroyed, or he/she was socially exiled.</t>
  </si>
  <si>
    <t>Committed political crime.</t>
  </si>
  <si>
    <t>Escaped from detention for crime.</t>
  </si>
  <si>
    <t>Committed minor crime of theft, fraud, or assault.</t>
  </si>
  <si>
    <t>Committed major crime of theft, murder, or rape (or the NPC is an anarchist).</t>
  </si>
  <si>
    <t>Committed religious crime.</t>
  </si>
  <si>
    <t>Got tangled up with a Mystery Cult (CC).</t>
  </si>
  <si>
    <t>Was unjustly accused of a crime.</t>
  </si>
  <si>
    <t>Cloth (d10): 1. raw cotton; 2. raw linen; 3. raw silk; 4. raw wool; 5. finished cotton; 6. finished linen; 7. finished silk; 8. finished wool; 9. soft leather; 10. unusual animal hair.</t>
  </si>
  <si>
    <t>Wood (d6): 1. rough cut; 2. finished; 3. furniture; 4. containers; 5. paper; 6. carved.</t>
  </si>
  <si>
    <t>Food (d10): 1. fresh fruits and vegetables; 2. cured meats; 3. cheeses; 4. grain; 5. preserved fruits; 6. nuts; 7. preserved vegetables; 8. oils; 9. live animals; 10. foreign delicacies.</t>
  </si>
  <si>
    <t>Beverages (d6): 1. ale; 2. mead; 3. distilled spirits; 4. raw juice; 5. water; 6. wine.</t>
  </si>
  <si>
    <t>Spices (d10): 1. salt; 2. sugar; 3. variety of pepper; 4. savory spice; 5. unusual spice; 6. legal drug; 7. illegal drug; 8. healing herb; 9. magical herb; 10. exotic herb.</t>
  </si>
  <si>
    <t>Minerals (d6): 1. raw stone; 2. refined stone; 3. raw ore; 4. refined ore; 5. rough-cut gemstones; 6. finely-cut gemstones.</t>
  </si>
  <si>
    <t>Luxury goods (d10): 1. painting; 2. sculpture; 3. work of art; 4. rare commodity; 5. masterwork armor; 6. masterwork weapon; 7. fine textiles; 8. perfumes; 9. exotic foods; 10. expensive potions.</t>
  </si>
  <si>
    <t>The north.</t>
  </si>
  <si>
    <t>The west.</t>
  </si>
  <si>
    <t>The south.</t>
  </si>
  <si>
    <t>The east.</t>
  </si>
  <si>
    <t>A savage land.</t>
  </si>
  <si>
    <t>An exotic island.</t>
  </si>
  <si>
    <t>Another realm of existence.</t>
  </si>
  <si>
    <t>Commune with an avatar.</t>
  </si>
  <si>
    <t>Map a location.</t>
  </si>
  <si>
    <t>Deliver a message.</t>
  </si>
  <si>
    <t>Recover a minor Treasure (U).</t>
  </si>
  <si>
    <t>Deliver a package.</t>
  </si>
  <si>
    <t>Destroy a minor monster or cleanse a tainted area.</t>
  </si>
  <si>
    <t>Rediscover a local forgotten place.</t>
  </si>
  <si>
    <t>Awaken a sleeping NPC.</t>
  </si>
  <si>
    <t>Recover or destroy an Artifact (C).</t>
  </si>
  <si>
    <t>Aid or slay an NPC.</t>
  </si>
  <si>
    <t>Slay a monster.</t>
  </si>
  <si>
    <t>Liberate or enslave an NPC.</t>
  </si>
  <si>
    <t>Discover a lost foreign land.</t>
  </si>
  <si>
    <t>Save or destroy the world.</t>
  </si>
  <si>
    <t>Freed an innocent from imprisonment.</t>
  </si>
  <si>
    <t>Corrected a long-standing error.</t>
  </si>
  <si>
    <t>Helped unfortunates with financial aid.</t>
  </si>
  <si>
    <t>Spread a charitable political message or religious doctrine.</t>
  </si>
  <si>
    <t>Helped local children or relatives to overcome oppression.</t>
  </si>
  <si>
    <t>Healed the sick and comfort the dying.</t>
  </si>
  <si>
    <t>Used an Artifact (C) to spread goodwill.</t>
  </si>
  <si>
    <t>Humiliated and torture a rival.</t>
  </si>
  <si>
    <t>Collected an extortion's payoff and punish the offender.</t>
  </si>
  <si>
    <t>Stole from friends or family.</t>
  </si>
  <si>
    <t>Badly beat or killed a rival.</t>
  </si>
  <si>
    <t>Destroyed a business, financially or physically.</t>
  </si>
  <si>
    <t>Agitated a harmful political message or religious doctrine.</t>
  </si>
  <si>
    <t>Spread lies and rumors against an individual or group of a shocking nature.</t>
  </si>
  <si>
    <t>A snubbed ex-friend.</t>
  </si>
  <si>
    <t>A school bully.</t>
  </si>
  <si>
    <t>A business rival.</t>
  </si>
  <si>
    <t>A local thug.</t>
  </si>
  <si>
    <t>A romantic rival.</t>
  </si>
  <si>
    <t>A spiteful boss or teacher.</t>
  </si>
  <si>
    <t>A family member.</t>
  </si>
  <si>
    <t>A politician or political group.</t>
  </si>
  <si>
    <t>A powerful rogue, thug, or assassin.</t>
  </si>
  <si>
    <t>A noble's family.</t>
  </si>
  <si>
    <t>A religious cult, sect, group, or temple.</t>
  </si>
  <si>
    <t>A powerful mage or cabal.</t>
  </si>
  <si>
    <t>A mercenary company.</t>
  </si>
  <si>
    <t>A mysterious NPC.</t>
  </si>
  <si>
    <t>Spirits locked in battle.</t>
  </si>
  <si>
    <t>A tortured revenant who must relive its brutal murder.</t>
  </si>
  <si>
    <t>A benign phantom who provides small comforts and messages.</t>
  </si>
  <si>
    <t>A crazed banshee.</t>
  </si>
  <si>
    <t>A spiteful haunt, who appears as dead loved ones and friends.</t>
  </si>
  <si>
    <t>A playful poltergeist, a childish trickster.</t>
  </si>
  <si>
    <t>An evil ghost, driven to consume lifeforce in a bid to regain life.</t>
  </si>
  <si>
    <t>A chronological anomaly. Time moves at a different speed.</t>
  </si>
  <si>
    <t>Insomnia. Sleep and rest are impossible.</t>
  </si>
  <si>
    <t>Extreme heat or cold.</t>
  </si>
  <si>
    <t>An overwhelming aura of helplessness and suffering.</t>
  </si>
  <si>
    <t>Plagues of vermin.</t>
  </si>
  <si>
    <t>Foul weather.</t>
  </si>
  <si>
    <t>A corruption of reality.</t>
  </si>
  <si>
    <t>Potions.</t>
  </si>
  <si>
    <t>Gems.</t>
  </si>
  <si>
    <t>Weapons or armor.</t>
  </si>
  <si>
    <t>Coins.</t>
  </si>
  <si>
    <t>Wands, rods, and staves.</t>
  </si>
  <si>
    <t>Clothing.</t>
  </si>
  <si>
    <t>An artifact (C).</t>
  </si>
  <si>
    <t>A political power figure allied to the NPC has suddenly died, been arrested, or been exiled.</t>
  </si>
  <si>
    <t>The NPC's business in trouble.</t>
  </si>
  <si>
    <t>A family friend of the NPC has taken ill, gone mad, or died suddenly.</t>
  </si>
  <si>
    <t>The NPC's hometown has been attacked, enslaved, or destroyed.</t>
  </si>
  <si>
    <t>A disease epidemic is afflicting the local region or the NPC's hometown.</t>
  </si>
  <si>
    <t>The NPC's spouse or close relative has done something terrible.</t>
  </si>
  <si>
    <t>All the NPC's resources or income have been stolen or destroyed.</t>
  </si>
  <si>
    <t>A powerful enemy is coming for the PC or party.</t>
  </si>
  <si>
    <t>An enemy is plotting against the PC or party.</t>
  </si>
  <si>
    <t>The government is investigating the PC or party.</t>
  </si>
  <si>
    <t>Friend or lover or spouse is lying to the PC or party.</t>
  </si>
  <si>
    <t>Co-worker or business partner is stealing from the PC or party.</t>
  </si>
  <si>
    <t>A rival is spreading terrible lies and rumors.</t>
  </si>
  <si>
    <t>An avatar is coming.</t>
  </si>
  <si>
    <t>An invitation to an upcoming event (party, play, etc.) given by a mysterious stranger.</t>
  </si>
  <si>
    <t>A local revival of a deity's followers is nearby and drawing crowds.</t>
  </si>
  <si>
    <t>A challenge has been issued by the local ruler, calling for Feats of Strength, a Battle of Wits, or some other display of skill.</t>
  </si>
  <si>
    <t>A guild-house is permitting new members to join, decided by a contest.</t>
  </si>
  <si>
    <t>A circus has come to town. Rumors are they are taking on workers or performers.</t>
  </si>
  <si>
    <t>A fancy dress party for the local ruler has drawn all the wealthy in the area.</t>
  </si>
  <si>
    <t>A family event in the local ruler or his/her spouse or close family (d4): 1. marriage; 2. birth; 3. death; 4. divorce; 5. disinheritance; 6. something else.</t>
  </si>
  <si>
    <t>The opposition is soon to gain or has recently gained control through a coup.</t>
  </si>
  <si>
    <t>A downshift in the support of financial backers has driven prices way up.</t>
  </si>
  <si>
    <t>A noble has been accused of a terrible crime.</t>
  </si>
  <si>
    <t>A marriage between noble houses has been announced, and rumors of treachery persist.</t>
  </si>
  <si>
    <t>A shift in the government's stance on taxes has been taken badly by the populace.</t>
  </si>
  <si>
    <t>Corruption rumors abound, and evidence of murder and treachery is being sought.</t>
  </si>
  <si>
    <t>A powerful figure has been killed, exiled, or worse.</t>
  </si>
  <si>
    <t>An avatar has recently issued sanctions.</t>
  </si>
  <si>
    <t>Open warfare against temple enemies is now public knowledge.</t>
  </si>
  <si>
    <t>A new edict or sanction has recently been announced, causing a radical shift in the local population's mood.</t>
  </si>
  <si>
    <t>An expedition to the Heathen Lands has been announced.</t>
  </si>
  <si>
    <t>Temple leaders have declared a peace agreement and a Summit of Faith has been announced.</t>
  </si>
  <si>
    <t>An artifact or holy relic has been found or destroyed and a Call to the Faithful has gone out.</t>
  </si>
  <si>
    <t>An avatar has recently appeared and denounced (or blessed) the faithful and has punished (or rewarded) them with a bane (or boon).</t>
  </si>
  <si>
    <t>The dreams of the lives of those who gave their lives in sacrifice for the Faith.</t>
  </si>
  <si>
    <t>All skills relating to the practice of the faith are more easily accomplished (+1 or advantage).</t>
  </si>
  <si>
    <t>Hallucinations of the landscape of the deity's Plane haunt the waking mind.</t>
  </si>
  <si>
    <t>Those not of the Faith will be psionically attacked by the environment, driving them out.</t>
  </si>
  <si>
    <t>Animal servants of the deity roam the grounds here, protecting from heathen intruders.</t>
  </si>
  <si>
    <t>All divine spells are cast here as if the caster was 1 level higher.</t>
  </si>
  <si>
    <t>Manifestation of an Avatar. Its mood depends on the PC or party's interaction.</t>
  </si>
  <si>
    <t>Trying to interact with a minor or major deity (d6): 1. return it from exile; 2. free it from imprisonment; 3. enslave it; 4. destroy it; 5. bring about its rebirth; 6. raise it to a higher status.</t>
  </si>
  <si>
    <t>Collecting objects to trade to a deity for power.</t>
  </si>
  <si>
    <t>Thralls under a larger power, acquiring resources, knowledge, manpower for a larger plan.</t>
  </si>
  <si>
    <t>Disaffected people angry at inequality. They have resorted to violence and rhetoric.</t>
  </si>
  <si>
    <t>Animal worshipers, devoted to returning humanity to a more primal lifestyle.</t>
  </si>
  <si>
    <t>Outsiders who are interacting with the local populace (d6): 1. killing them; 2. enslaving them; 3. stealing from them; 4. trading with them; 5. helping them; 6. converting them.</t>
  </si>
  <si>
    <t>Wealthy cannibals and defilers, seeking only pleasure for themselves.</t>
  </si>
  <si>
    <t>Результат</t>
  </si>
  <si>
    <t>**An artifact** (d10)</t>
  </si>
  <si>
    <t>1</t>
  </si>
  <si>
    <t>arcane</t>
  </si>
  <si>
    <t>2</t>
  </si>
  <si>
    <t>dwarvish</t>
  </si>
  <si>
    <t>3</t>
  </si>
  <si>
    <t>elemental</t>
  </si>
  <si>
    <t>4</t>
  </si>
  <si>
    <t>elvish</t>
  </si>
  <si>
    <t>5</t>
  </si>
  <si>
    <t>giant</t>
  </si>
  <si>
    <t>6</t>
  </si>
  <si>
    <t>holy</t>
  </si>
  <si>
    <t>7</t>
  </si>
  <si>
    <t>relic of a hero</t>
  </si>
  <si>
    <t>8</t>
  </si>
  <si>
    <t>relic of a villain</t>
  </si>
  <si>
    <t>9</t>
  </si>
  <si>
    <t>unholy</t>
  </si>
  <si>
    <t>10</t>
  </si>
  <si>
    <t>a piece of an item set</t>
  </si>
  <si>
    <t>**An object** (d6)</t>
  </si>
  <si>
    <t>A piece of jewelry</t>
  </si>
  <si>
    <t>A chest</t>
  </si>
  <si>
    <t>A map</t>
  </si>
  <si>
    <t>A bucket</t>
  </si>
  <si>
    <t>A lantern</t>
  </si>
  <si>
    <t>A jar</t>
  </si>
  <si>
    <t>**A book** (d6)</t>
  </si>
  <si>
    <t>bestiary</t>
  </si>
  <si>
    <t>potion recipes</t>
  </si>
  <si>
    <t>historical record</t>
  </si>
  <si>
    <t>holy scripture</t>
  </si>
  <si>
    <t>personal journal</t>
  </si>
  <si>
    <t>mage's spellbook</t>
  </si>
  <si>
    <t>**Armor** (d10)</t>
  </si>
  <si>
    <t>leather helm</t>
  </si>
  <si>
    <t>steel helm</t>
  </si>
  <si>
    <t>leather baldric</t>
  </si>
  <si>
    <t>bronze breastplate</t>
  </si>
  <si>
    <t>steel breastplate</t>
  </si>
  <si>
    <t>chain shirt</t>
  </si>
  <si>
    <t>leather gloves</t>
  </si>
  <si>
    <t>steel gauntlets</t>
  </si>
  <si>
    <t>suit of chainmail</t>
  </si>
  <si>
    <t>suit of plate</t>
  </si>
  <si>
    <t>**A weapon or piece of ammunition** (d10)</t>
  </si>
  <si>
    <t>dagger</t>
  </si>
  <si>
    <t>spear</t>
  </si>
  <si>
    <t>axe</t>
  </si>
  <si>
    <t>sword</t>
  </si>
  <si>
    <t>flail</t>
  </si>
  <si>
    <t>hammer</t>
  </si>
  <si>
    <t>bow</t>
  </si>
  <si>
    <t>crossbow</t>
  </si>
  <si>
    <t>arrow or bolt</t>
  </si>
  <si>
    <t>exotic weapon</t>
  </si>
  <si>
    <t>**An implement or symbol of power** (d6)</t>
  </si>
  <si>
    <t>rod</t>
  </si>
  <si>
    <t>staff</t>
  </si>
  <si>
    <t>wand</t>
  </si>
  <si>
    <t>sceptre</t>
  </si>
  <si>
    <t>crown</t>
  </si>
  <si>
    <t>gemstone</t>
  </si>
  <si>
    <t>**A work of art** (d6)</t>
  </si>
  <si>
    <t>statue</t>
  </si>
  <si>
    <t>painting</t>
  </si>
  <si>
    <t>musical instrument</t>
  </si>
  <si>
    <t>sheet music</t>
  </si>
  <si>
    <t>article of clothing</t>
  </si>
  <si>
    <t>**A prosthesis** (d6)</t>
  </si>
  <si>
    <t>arm</t>
  </si>
  <si>
    <t>eye</t>
  </si>
  <si>
    <t>foot</t>
  </si>
  <si>
    <t>hand</t>
  </si>
  <si>
    <t>heart</t>
  </si>
  <si>
    <t>leg</t>
  </si>
  <si>
    <t>ornate weapon</t>
  </si>
  <si>
    <t>When the NPC overhears the PC or the party talking, his/her reaction is…</t>
  </si>
  <si>
    <t>When questioned about his/her motivation, the NPC reveals (or hides) that he/she is…</t>
  </si>
  <si>
    <t>The area or site is…</t>
  </si>
  <si>
    <t>custom seed</t>
  </si>
  <si>
    <t>current seed</t>
  </si>
  <si>
    <t>Hostile. Now the NPC is a nemesis. He/she gives a Major Bane (F) and will pursue one or more of the PCs until dead.</t>
  </si>
  <si>
    <t>Unhappy. The NPC gives a Minor Bane (E). There is an 80% chance his/her attitude will shift to hostile on next encounter.</t>
  </si>
  <si>
    <t>Disgruntled. The NPC gives False Rumor. There is a 40% chance his/her attitude will shift to unhappy on next encounter.</t>
  </si>
  <si>
    <t>Indifferent but helpful. The NPC gives Personal Information (A) or Local Information (B), as requested.</t>
  </si>
  <si>
    <t>Pleased. The NPC shares a Specific Rumour. There is a 40% chance his/her attitude will shift to happy on next encounter.</t>
  </si>
  <si>
    <t>Happy. The NPC gives a Minor Boon (H). There is an 80% chance his/her attitude will shift to friendly on next encounter.</t>
  </si>
  <si>
    <t>Friendly. The NPC is now an ally. He/she gives a Major Boon (G) and will protect PC until dead.</t>
  </si>
  <si>
    <t>On The Run (J) from a Minor Enemy (Q) or a Major Enemy (R) for Good Deeds(O) or Evil Deeds (P).</t>
  </si>
  <si>
    <t>On a Vendetta (I) against an Minor Enemy (Q) or a Major Enemy (R).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</si>
</sst>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AA8B-C5FA-4D3B-B755-2BA9483D0673}">
  <dimension ref="A3:B8"/>
  <sheetViews>
    <sheetView workbookViewId="0">
      <selection activeCell="N8" sqref="N8"/>
    </sheetView>
  </sheetViews>
  <sheetFormatPr defaultRowHeight="15.75" x14ac:dyDescent="0.25"/>
  <cols>
    <col min="1" max="1" width="32.125" customWidth="1"/>
  </cols>
  <sheetData>
    <row r="3" spans="1:2" ht="31.5" x14ac:dyDescent="0.25">
      <c r="A3" s="4" t="s">
        <v>311</v>
      </c>
      <c r="B3" s="5" t="str">
        <f ca="1">Reaction!B10</f>
        <v>Disgruntled. The NPC gives False Rumor. There is a 40% chance his/her attitude will shift to unhappy on next encounter.</v>
      </c>
    </row>
    <row r="4" spans="1:2" ht="47.25" x14ac:dyDescent="0.25">
      <c r="A4" s="4" t="s">
        <v>312</v>
      </c>
      <c r="B4" s="5" t="str">
        <f ca="1">Motivation!B10</f>
        <v>Searching for Personal Information (A), Local Information (B), or Item Information (C).</v>
      </c>
    </row>
    <row r="5" spans="1:2" x14ac:dyDescent="0.25">
      <c r="A5" s="4" t="s">
        <v>313</v>
      </c>
      <c r="B5" s="5" t="str">
        <f ca="1">Area!B10</f>
        <v>Home to Monster (Roll on Own Encounter Table). Nearby: Minor Treasure (U).</v>
      </c>
    </row>
    <row r="7" spans="1:2" x14ac:dyDescent="0.25">
      <c r="A7" s="4" t="s">
        <v>314</v>
      </c>
      <c r="B7" s="6">
        <v>0</v>
      </c>
    </row>
    <row r="8" spans="1:2" x14ac:dyDescent="0.25">
      <c r="A8" s="4" t="s">
        <v>315</v>
      </c>
      <c r="B8" s="7">
        <f ca="1">IF(ISNUMBER(B7), B7, RANDBETWEEN(1, 1000000))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opLeftCell="B1" workbookViewId="0">
      <selection activeCell="B9" sqref="B9"/>
    </sheetView>
  </sheetViews>
  <sheetFormatPr defaultRowHeight="15.75" x14ac:dyDescent="0.25"/>
  <cols>
    <col min="1" max="1" width="10.875" customWidth="1"/>
    <col min="2" max="2" width="134.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316</v>
      </c>
    </row>
    <row r="3" spans="1:2" x14ac:dyDescent="0.25">
      <c r="A3" t="s">
        <v>3</v>
      </c>
      <c r="B3" t="s">
        <v>317</v>
      </c>
    </row>
    <row r="4" spans="1:2" x14ac:dyDescent="0.25">
      <c r="A4" t="s">
        <v>4</v>
      </c>
      <c r="B4" t="s">
        <v>318</v>
      </c>
    </row>
    <row r="5" spans="1:2" x14ac:dyDescent="0.25">
      <c r="A5" t="s">
        <v>5</v>
      </c>
      <c r="B5" t="s">
        <v>319</v>
      </c>
    </row>
    <row r="6" spans="1:2" x14ac:dyDescent="0.25">
      <c r="A6" t="s">
        <v>6</v>
      </c>
      <c r="B6" t="s">
        <v>320</v>
      </c>
    </row>
    <row r="7" spans="1:2" x14ac:dyDescent="0.25">
      <c r="A7" t="s">
        <v>7</v>
      </c>
      <c r="B7" t="s">
        <v>321</v>
      </c>
    </row>
    <row r="8" spans="1:2" ht="16.5" thickBot="1" x14ac:dyDescent="0.3">
      <c r="A8" t="s">
        <v>8</v>
      </c>
      <c r="B8" t="s">
        <v>322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Disgruntled. The NPC gives False Rumor. There is a 40% chance his/her attitude will shift to unhappy on next encounter.</v>
      </c>
    </row>
  </sheetData>
  <pageMargins left="0.7" right="0.7" top="0.75" bottom="0.75" header="0.3" footer="0.3"/>
  <ignoredErrors>
    <ignoredError sqref="A1:B1 A4 A2 A3 A6 A5 A8 A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51A1-90A4-4863-B4A8-E4DA70882C92}">
  <dimension ref="A1:B10"/>
  <sheetViews>
    <sheetView tabSelected="1" workbookViewId="0">
      <selection activeCell="B12" sqref="B12"/>
    </sheetView>
  </sheetViews>
  <sheetFormatPr defaultRowHeight="15.75" x14ac:dyDescent="0.25"/>
  <cols>
    <col min="1" max="1" width="10.875" customWidth="1"/>
    <col min="2" max="2" width="30.875" customWidth="1"/>
  </cols>
  <sheetData>
    <row r="1" spans="1:2" x14ac:dyDescent="0.25">
      <c r="A1" t="s">
        <v>0</v>
      </c>
      <c r="B1" t="s">
        <v>9</v>
      </c>
    </row>
    <row r="2" spans="1:2" x14ac:dyDescent="0.25">
      <c r="A2" t="s">
        <v>2</v>
      </c>
      <c r="B2" t="s">
        <v>323</v>
      </c>
    </row>
    <row r="3" spans="1:2" x14ac:dyDescent="0.25">
      <c r="A3" t="s">
        <v>3</v>
      </c>
      <c r="B3" t="s">
        <v>324</v>
      </c>
    </row>
    <row r="4" spans="1:2" x14ac:dyDescent="0.25">
      <c r="A4" t="s">
        <v>4</v>
      </c>
      <c r="B4" t="s">
        <v>10</v>
      </c>
    </row>
    <row r="5" spans="1:2" x14ac:dyDescent="0.25">
      <c r="A5" t="s">
        <v>5</v>
      </c>
      <c r="B5" t="s">
        <v>11</v>
      </c>
    </row>
    <row r="6" spans="1:2" x14ac:dyDescent="0.25">
      <c r="A6" t="s">
        <v>6</v>
      </c>
      <c r="B6" t="s">
        <v>12</v>
      </c>
    </row>
    <row r="7" spans="1:2" x14ac:dyDescent="0.25">
      <c r="A7" t="s">
        <v>7</v>
      </c>
      <c r="B7" t="s">
        <v>13</v>
      </c>
    </row>
    <row r="8" spans="1:2" ht="16.5" thickBot="1" x14ac:dyDescent="0.3">
      <c r="A8" t="s">
        <v>8</v>
      </c>
      <c r="B8" t="s">
        <v>14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Searching for Personal Information (A), Local Information (B), or Item Information (C).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9D7B-0724-489C-8B2F-8B0C1D5266BD}">
  <dimension ref="A1:B10"/>
  <sheetViews>
    <sheetView workbookViewId="0">
      <selection activeCell="A9" sqref="A9"/>
    </sheetView>
  </sheetViews>
  <sheetFormatPr defaultRowHeight="15.75" x14ac:dyDescent="0.25"/>
  <cols>
    <col min="1" max="1" width="10.875" customWidth="1"/>
    <col min="2" max="2" width="30.875" customWidth="1"/>
  </cols>
  <sheetData>
    <row r="1" spans="1:2" x14ac:dyDescent="0.25">
      <c r="A1" t="s">
        <v>0</v>
      </c>
      <c r="B1" t="s">
        <v>15</v>
      </c>
    </row>
    <row r="2" spans="1:2" x14ac:dyDescent="0.25">
      <c r="A2" t="s">
        <v>2</v>
      </c>
      <c r="B2" t="s">
        <v>16</v>
      </c>
    </row>
    <row r="3" spans="1:2" x14ac:dyDescent="0.25">
      <c r="A3" t="s">
        <v>3</v>
      </c>
      <c r="B3" t="s">
        <v>17</v>
      </c>
    </row>
    <row r="4" spans="1:2" x14ac:dyDescent="0.25">
      <c r="A4" t="s">
        <v>4</v>
      </c>
      <c r="B4" t="s">
        <v>18</v>
      </c>
    </row>
    <row r="5" spans="1:2" x14ac:dyDescent="0.25">
      <c r="A5" t="s">
        <v>5</v>
      </c>
      <c r="B5" t="s">
        <v>19</v>
      </c>
    </row>
    <row r="6" spans="1:2" x14ac:dyDescent="0.25">
      <c r="A6" t="s">
        <v>6</v>
      </c>
      <c r="B6" t="s">
        <v>20</v>
      </c>
    </row>
    <row r="7" spans="1:2" x14ac:dyDescent="0.25">
      <c r="A7" t="s">
        <v>7</v>
      </c>
      <c r="B7" t="s">
        <v>21</v>
      </c>
    </row>
    <row r="8" spans="1:2" ht="16.5" thickBot="1" x14ac:dyDescent="0.3">
      <c r="A8" t="s">
        <v>8</v>
      </c>
      <c r="B8" t="s">
        <v>22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Home to Monster (Roll on Own Encounter Table). Nearby: Minor Treasure (U).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33F9-4535-48F9-A342-D4DEAE2870C9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25</v>
      </c>
    </row>
    <row r="3" spans="1:2" x14ac:dyDescent="0.25">
      <c r="A3" t="s">
        <v>3</v>
      </c>
      <c r="B3" t="s">
        <v>26</v>
      </c>
    </row>
    <row r="4" spans="1:2" x14ac:dyDescent="0.25">
      <c r="A4" t="s">
        <v>4</v>
      </c>
      <c r="B4" t="s">
        <v>27</v>
      </c>
    </row>
    <row r="5" spans="1:2" x14ac:dyDescent="0.25">
      <c r="A5" t="s">
        <v>5</v>
      </c>
      <c r="B5" t="s">
        <v>28</v>
      </c>
    </row>
    <row r="6" spans="1:2" x14ac:dyDescent="0.25">
      <c r="A6" t="s">
        <v>6</v>
      </c>
      <c r="B6" t="s">
        <v>29</v>
      </c>
    </row>
    <row r="7" spans="1:2" x14ac:dyDescent="0.25">
      <c r="A7" t="s">
        <v>7</v>
      </c>
      <c r="B7" t="s">
        <v>30</v>
      </c>
    </row>
    <row r="8" spans="1:2" ht="16.5" thickBot="1" x14ac:dyDescent="0.3">
      <c r="A8" t="s">
        <v>8</v>
      </c>
      <c r="B8" t="s">
        <v>31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Passes along a rumor (check Ladder) about the PC as told by a friend, a Minor Enemy (Q), or a Major Enemy (R).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14A1-D359-4CDC-AC8F-27AEA3590918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32</v>
      </c>
    </row>
    <row r="3" spans="1:2" x14ac:dyDescent="0.25">
      <c r="A3" t="s">
        <v>3</v>
      </c>
      <c r="B3" t="s">
        <v>33</v>
      </c>
    </row>
    <row r="4" spans="1:2" x14ac:dyDescent="0.25">
      <c r="A4" t="s">
        <v>4</v>
      </c>
      <c r="B4" t="s">
        <v>34</v>
      </c>
    </row>
    <row r="5" spans="1:2" x14ac:dyDescent="0.25">
      <c r="A5" t="s">
        <v>5</v>
      </c>
      <c r="B5" t="s">
        <v>35</v>
      </c>
    </row>
    <row r="6" spans="1:2" x14ac:dyDescent="0.25">
      <c r="A6" t="s">
        <v>6</v>
      </c>
      <c r="B6" t="s">
        <v>36</v>
      </c>
    </row>
    <row r="7" spans="1:2" x14ac:dyDescent="0.25">
      <c r="A7" t="s">
        <v>7</v>
      </c>
      <c r="B7" t="s">
        <v>37</v>
      </c>
    </row>
    <row r="8" spans="1:2" ht="16.5" thickBot="1" x14ac:dyDescent="0.3">
      <c r="A8" t="s">
        <v>8</v>
      </c>
      <c r="B8" t="s">
        <v>38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Passes along knowledge of a Social Event (X).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2337-8E84-4FB8-B2E9-8FA9CF311CA0}">
  <dimension ref="A1:C11"/>
  <sheetViews>
    <sheetView workbookViewId="0">
      <selection activeCell="D11" sqref="D11"/>
    </sheetView>
  </sheetViews>
  <sheetFormatPr defaultRowHeight="15.75" x14ac:dyDescent="0.25"/>
  <cols>
    <col min="1" max="1" width="15.875" customWidth="1"/>
    <col min="2" max="2" width="161.25" bestFit="1" customWidth="1"/>
    <col min="3" max="3" width="16.5" bestFit="1" customWidth="1"/>
  </cols>
  <sheetData>
    <row r="1" spans="1:3" x14ac:dyDescent="0.25">
      <c r="A1" t="s">
        <v>23</v>
      </c>
      <c r="B1" t="s">
        <v>24</v>
      </c>
    </row>
    <row r="2" spans="1:3" x14ac:dyDescent="0.25">
      <c r="A2" t="s">
        <v>39</v>
      </c>
      <c r="B2" t="s">
        <v>40</v>
      </c>
      <c r="C2" t="str">
        <f ca="1">C_ITEMS!B14</f>
        <v>dwarvish</v>
      </c>
    </row>
    <row r="3" spans="1:3" x14ac:dyDescent="0.25">
      <c r="A3" t="s">
        <v>41</v>
      </c>
      <c r="B3" t="s">
        <v>42</v>
      </c>
      <c r="C3" t="str">
        <f ca="1">C_ITEMS!D14</f>
        <v>A map</v>
      </c>
    </row>
    <row r="4" spans="1:3" x14ac:dyDescent="0.25">
      <c r="A4" t="s">
        <v>43</v>
      </c>
      <c r="B4" t="s">
        <v>44</v>
      </c>
      <c r="C4" t="str">
        <f ca="1">C_ITEMS!F14</f>
        <v>holy scripture</v>
      </c>
    </row>
    <row r="5" spans="1:3" x14ac:dyDescent="0.25">
      <c r="A5" t="s">
        <v>4</v>
      </c>
      <c r="B5" t="s">
        <v>45</v>
      </c>
      <c r="C5" t="str">
        <f ca="1">C_ITEMS!H14</f>
        <v>chain shirt</v>
      </c>
    </row>
    <row r="6" spans="1:3" x14ac:dyDescent="0.25">
      <c r="A6" t="s">
        <v>5</v>
      </c>
      <c r="B6" t="s">
        <v>46</v>
      </c>
      <c r="C6" t="str">
        <f ca="1">C_ITEMS!B29</f>
        <v>bow</v>
      </c>
    </row>
    <row r="7" spans="1:3" x14ac:dyDescent="0.25">
      <c r="A7" t="s">
        <v>6</v>
      </c>
      <c r="B7" t="s">
        <v>47</v>
      </c>
      <c r="C7" t="str">
        <f ca="1">C_ITEMS!D29</f>
        <v>crown</v>
      </c>
    </row>
    <row r="8" spans="1:3" x14ac:dyDescent="0.25">
      <c r="A8" t="s">
        <v>7</v>
      </c>
      <c r="B8" t="s">
        <v>48</v>
      </c>
      <c r="C8" t="str">
        <f ca="1">C_ITEMS!F29</f>
        <v>musical instrument</v>
      </c>
    </row>
    <row r="9" spans="1:3" ht="16.5" thickBot="1" x14ac:dyDescent="0.3">
      <c r="A9" t="s">
        <v>8</v>
      </c>
      <c r="B9" t="s">
        <v>49</v>
      </c>
      <c r="C9" t="str">
        <f ca="1">C_ITEMS!H29</f>
        <v>hand</v>
      </c>
    </row>
    <row r="10" spans="1:3" ht="16.5" thickBot="1" x14ac:dyDescent="0.3">
      <c r="A10" s="1">
        <f ca="1">MAIN!$B$8</f>
        <v>0</v>
      </c>
    </row>
    <row r="11" spans="1:3" ht="16.5" thickBot="1" x14ac:dyDescent="0.3">
      <c r="A11" s="2">
        <f ca="1">MOD(MOD($A$10*7919+7, 2147483647), 20) + 1</f>
        <v>8</v>
      </c>
      <c r="B11" s="3" t="str" cm="1">
        <f t="array" aca="1" ref="B11" ca="1">INDEX($B$2:$B$9, MATCH(A11, --LEFT($A$2:$A$9, SEARCH("-", $A$2:$A$9)-1), 1))</f>
        <v>Armor (d10): 1. leather helm; 2. steel helm; 3. leather baldric; 4. bronze breastplate; 5. steel breastplate; 6. chain shirt; 7. leather gloves; 8. steel gauntlets; 9. suit of chainmail; 10. suit of plate.</v>
      </c>
      <c r="C11" s="3" t="str" cm="1">
        <f t="array" aca="1" ref="C11" ca="1">INDEX($C$2:$C$9, MATCH(A11, --LEFT($A$2:$A$9, SEARCH("-", $A$2:$A$9)-1), 1))</f>
        <v>chain shirt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8BF3-54CF-4E86-A882-6C67CBCF8465}">
  <dimension ref="A1:H29"/>
  <sheetViews>
    <sheetView workbookViewId="0">
      <selection activeCell="C16" sqref="C16:D29"/>
    </sheetView>
  </sheetViews>
  <sheetFormatPr defaultColWidth="37.875" defaultRowHeight="15.75" x14ac:dyDescent="0.25"/>
  <cols>
    <col min="1" max="1" width="7.5" customWidth="1"/>
    <col min="2" max="2" width="18.75" bestFit="1" customWidth="1"/>
    <col min="3" max="3" width="7.5" customWidth="1"/>
    <col min="4" max="4" width="36.5" customWidth="1"/>
    <col min="5" max="5" width="7.5" customWidth="1"/>
    <col min="6" max="6" width="19.75" customWidth="1"/>
    <col min="7" max="7" width="7.5" customWidth="1"/>
    <col min="8" max="8" width="8.875" bestFit="1" customWidth="1"/>
    <col min="9" max="9" width="19.25" bestFit="1" customWidth="1"/>
    <col min="10" max="10" width="1.875" bestFit="1" customWidth="1"/>
    <col min="11" max="11" width="16.25" customWidth="1"/>
    <col min="12" max="12" width="6.5" customWidth="1"/>
    <col min="13" max="13" width="6.875" bestFit="1" customWidth="1"/>
    <col min="14" max="14" width="6.5" customWidth="1"/>
    <col min="15" max="15" width="6.875" bestFit="1" customWidth="1"/>
    <col min="16" max="24" width="6.5" customWidth="1"/>
  </cols>
  <sheetData>
    <row r="1" spans="1:8" x14ac:dyDescent="0.25">
      <c r="A1" t="s">
        <v>233</v>
      </c>
      <c r="C1" t="s">
        <v>254</v>
      </c>
      <c r="E1" t="s">
        <v>261</v>
      </c>
      <c r="G1" t="s">
        <v>268</v>
      </c>
    </row>
    <row r="2" spans="1:8" x14ac:dyDescent="0.25">
      <c r="A2" t="s">
        <v>23</v>
      </c>
      <c r="B2" t="s">
        <v>232</v>
      </c>
      <c r="C2" t="s">
        <v>23</v>
      </c>
      <c r="D2" t="s">
        <v>232</v>
      </c>
      <c r="E2" t="s">
        <v>23</v>
      </c>
      <c r="F2" t="s">
        <v>232</v>
      </c>
      <c r="G2" t="s">
        <v>23</v>
      </c>
      <c r="H2" t="s">
        <v>232</v>
      </c>
    </row>
    <row r="3" spans="1:8" x14ac:dyDescent="0.25">
      <c r="A3" t="s">
        <v>234</v>
      </c>
      <c r="B3" t="s">
        <v>235</v>
      </c>
      <c r="C3" t="s">
        <v>234</v>
      </c>
      <c r="D3" t="s">
        <v>255</v>
      </c>
      <c r="E3" t="s">
        <v>234</v>
      </c>
      <c r="F3" t="s">
        <v>262</v>
      </c>
      <c r="G3" t="s">
        <v>234</v>
      </c>
      <c r="H3" t="s">
        <v>269</v>
      </c>
    </row>
    <row r="4" spans="1:8" x14ac:dyDescent="0.25">
      <c r="A4" t="s">
        <v>236</v>
      </c>
      <c r="B4" t="s">
        <v>237</v>
      </c>
      <c r="C4" t="s">
        <v>236</v>
      </c>
      <c r="D4" t="s">
        <v>256</v>
      </c>
      <c r="E4" t="s">
        <v>236</v>
      </c>
      <c r="F4" t="s">
        <v>263</v>
      </c>
      <c r="G4" t="s">
        <v>236</v>
      </c>
      <c r="H4" t="s">
        <v>270</v>
      </c>
    </row>
    <row r="5" spans="1:8" x14ac:dyDescent="0.25">
      <c r="A5" t="s">
        <v>238</v>
      </c>
      <c r="B5" t="s">
        <v>239</v>
      </c>
      <c r="C5" t="s">
        <v>238</v>
      </c>
      <c r="D5" t="s">
        <v>257</v>
      </c>
      <c r="E5" t="s">
        <v>238</v>
      </c>
      <c r="F5" t="s">
        <v>264</v>
      </c>
      <c r="G5" t="s">
        <v>238</v>
      </c>
      <c r="H5" t="s">
        <v>271</v>
      </c>
    </row>
    <row r="6" spans="1:8" x14ac:dyDescent="0.25">
      <c r="A6" t="s">
        <v>240</v>
      </c>
      <c r="B6" t="s">
        <v>241</v>
      </c>
      <c r="C6" t="s">
        <v>240</v>
      </c>
      <c r="D6" t="s">
        <v>258</v>
      </c>
      <c r="E6" t="s">
        <v>240</v>
      </c>
      <c r="F6" t="s">
        <v>265</v>
      </c>
      <c r="G6" t="s">
        <v>240</v>
      </c>
      <c r="H6" t="s">
        <v>272</v>
      </c>
    </row>
    <row r="7" spans="1:8" x14ac:dyDescent="0.25">
      <c r="A7" t="s">
        <v>242</v>
      </c>
      <c r="B7" t="s">
        <v>243</v>
      </c>
      <c r="C7" t="s">
        <v>242</v>
      </c>
      <c r="D7" t="s">
        <v>259</v>
      </c>
      <c r="E7" t="s">
        <v>242</v>
      </c>
      <c r="F7" t="s">
        <v>266</v>
      </c>
      <c r="G7" t="s">
        <v>242</v>
      </c>
      <c r="H7" t="s">
        <v>273</v>
      </c>
    </row>
    <row r="8" spans="1:8" x14ac:dyDescent="0.25">
      <c r="A8" t="s">
        <v>244</v>
      </c>
      <c r="B8" t="s">
        <v>245</v>
      </c>
      <c r="C8" t="s">
        <v>244</v>
      </c>
      <c r="D8" t="s">
        <v>260</v>
      </c>
      <c r="E8" t="s">
        <v>244</v>
      </c>
      <c r="F8" t="s">
        <v>267</v>
      </c>
      <c r="G8" t="s">
        <v>244</v>
      </c>
      <c r="H8" t="s">
        <v>274</v>
      </c>
    </row>
    <row r="9" spans="1:8" x14ac:dyDescent="0.25">
      <c r="A9" t="s">
        <v>246</v>
      </c>
      <c r="B9" t="s">
        <v>247</v>
      </c>
      <c r="G9" t="s">
        <v>246</v>
      </c>
      <c r="H9" t="s">
        <v>275</v>
      </c>
    </row>
    <row r="10" spans="1:8" x14ac:dyDescent="0.25">
      <c r="A10" t="s">
        <v>248</v>
      </c>
      <c r="B10" t="s">
        <v>249</v>
      </c>
      <c r="G10" t="s">
        <v>248</v>
      </c>
      <c r="H10" t="s">
        <v>276</v>
      </c>
    </row>
    <row r="11" spans="1:8" x14ac:dyDescent="0.25">
      <c r="A11" t="s">
        <v>250</v>
      </c>
      <c r="B11" t="s">
        <v>251</v>
      </c>
      <c r="G11" t="s">
        <v>250</v>
      </c>
      <c r="H11" t="s">
        <v>277</v>
      </c>
    </row>
    <row r="12" spans="1:8" ht="16.5" thickBot="1" x14ac:dyDescent="0.3">
      <c r="A12" t="s">
        <v>252</v>
      </c>
      <c r="B12" t="s">
        <v>253</v>
      </c>
      <c r="G12" t="s">
        <v>252</v>
      </c>
      <c r="H12" t="s">
        <v>278</v>
      </c>
    </row>
    <row r="13" spans="1:8" ht="16.5" thickBot="1" x14ac:dyDescent="0.3">
      <c r="A13" s="1">
        <f ca="1">MAIN!$B$8</f>
        <v>0</v>
      </c>
      <c r="C13" s="1">
        <f ca="1">MAIN!$B$8</f>
        <v>0</v>
      </c>
      <c r="E13" s="1">
        <f ca="1">MAIN!$B$8</f>
        <v>0</v>
      </c>
      <c r="G13" s="1">
        <f ca="1">MAIN!$B$8</f>
        <v>0</v>
      </c>
    </row>
    <row r="14" spans="1:8" ht="16.5" thickBot="1" x14ac:dyDescent="0.3">
      <c r="A14" s="2">
        <f ca="1">MOD(MOD($A$13*7919+1,2147483647),COUNTA(A3:A12))+1</f>
        <v>2</v>
      </c>
      <c r="B14" s="3" t="str" cm="1">
        <f t="array" aca="1" ref="B14" ca="1">INDEX(B3:B12, A14)</f>
        <v>dwarvish</v>
      </c>
      <c r="C14" s="2">
        <f ca="1">MOD(MOD($C$13*7919+2,2147483647),COUNTA(C3:C12))+1</f>
        <v>3</v>
      </c>
      <c r="D14" s="3" t="str" cm="1">
        <f t="array" aca="1" ref="D14" ca="1">INDEX(D3:D8, C14)</f>
        <v>A map</v>
      </c>
      <c r="E14" s="2">
        <f ca="1">MOD(MOD($C$13*7919+3,2147483647),COUNTA(E3:E12))+1</f>
        <v>4</v>
      </c>
      <c r="F14" s="3" t="str" cm="1">
        <f t="array" aca="1" ref="F14" ca="1">INDEX(F3:F8, E14)</f>
        <v>holy scripture</v>
      </c>
      <c r="G14" s="2">
        <f ca="1">MOD(MOD($C$13*7919+5,2147483647),COUNTA(G3:G12))+1</f>
        <v>6</v>
      </c>
      <c r="H14" s="3" t="str" cm="1">
        <f t="array" aca="1" ref="H14" ca="1">INDEX(H3:H12, G14)</f>
        <v>chain shirt</v>
      </c>
    </row>
    <row r="16" spans="1:8" x14ac:dyDescent="0.25">
      <c r="A16" t="s">
        <v>279</v>
      </c>
      <c r="C16" t="s">
        <v>290</v>
      </c>
      <c r="E16" t="s">
        <v>297</v>
      </c>
      <c r="G16" t="s">
        <v>303</v>
      </c>
    </row>
    <row r="17" spans="1:8" x14ac:dyDescent="0.25">
      <c r="A17" t="s">
        <v>23</v>
      </c>
      <c r="B17" t="s">
        <v>232</v>
      </c>
      <c r="C17" t="s">
        <v>23</v>
      </c>
      <c r="D17" t="s">
        <v>232</v>
      </c>
      <c r="E17" t="s">
        <v>23</v>
      </c>
      <c r="F17" t="s">
        <v>232</v>
      </c>
      <c r="G17" t="s">
        <v>23</v>
      </c>
      <c r="H17" t="s">
        <v>232</v>
      </c>
    </row>
    <row r="18" spans="1:8" x14ac:dyDescent="0.25">
      <c r="A18" t="s">
        <v>234</v>
      </c>
      <c r="B18" t="s">
        <v>280</v>
      </c>
      <c r="C18" t="s">
        <v>234</v>
      </c>
      <c r="D18" t="s">
        <v>291</v>
      </c>
      <c r="E18" t="s">
        <v>234</v>
      </c>
      <c r="F18" t="s">
        <v>298</v>
      </c>
      <c r="G18" t="s">
        <v>234</v>
      </c>
      <c r="H18" t="s">
        <v>304</v>
      </c>
    </row>
    <row r="19" spans="1:8" x14ac:dyDescent="0.25">
      <c r="A19" t="s">
        <v>236</v>
      </c>
      <c r="B19" t="s">
        <v>281</v>
      </c>
      <c r="C19" t="s">
        <v>236</v>
      </c>
      <c r="D19" t="s">
        <v>292</v>
      </c>
      <c r="E19" t="s">
        <v>236</v>
      </c>
      <c r="F19" t="s">
        <v>299</v>
      </c>
      <c r="G19" t="s">
        <v>236</v>
      </c>
      <c r="H19" t="s">
        <v>305</v>
      </c>
    </row>
    <row r="20" spans="1:8" x14ac:dyDescent="0.25">
      <c r="A20" t="s">
        <v>238</v>
      </c>
      <c r="B20" t="s">
        <v>282</v>
      </c>
      <c r="C20" t="s">
        <v>238</v>
      </c>
      <c r="D20" t="s">
        <v>293</v>
      </c>
      <c r="E20" t="s">
        <v>238</v>
      </c>
      <c r="F20" t="s">
        <v>300</v>
      </c>
      <c r="G20" t="s">
        <v>238</v>
      </c>
      <c r="H20" t="s">
        <v>306</v>
      </c>
    </row>
    <row r="21" spans="1:8" x14ac:dyDescent="0.25">
      <c r="A21" t="s">
        <v>240</v>
      </c>
      <c r="B21" t="s">
        <v>283</v>
      </c>
      <c r="C21" t="s">
        <v>240</v>
      </c>
      <c r="D21" t="s">
        <v>294</v>
      </c>
      <c r="E21" t="s">
        <v>240</v>
      </c>
      <c r="F21" t="s">
        <v>301</v>
      </c>
      <c r="G21" t="s">
        <v>240</v>
      </c>
      <c r="H21" t="s">
        <v>307</v>
      </c>
    </row>
    <row r="22" spans="1:8" x14ac:dyDescent="0.25">
      <c r="A22" t="s">
        <v>242</v>
      </c>
      <c r="B22" t="s">
        <v>284</v>
      </c>
      <c r="C22" t="s">
        <v>242</v>
      </c>
      <c r="D22" t="s">
        <v>295</v>
      </c>
      <c r="E22" t="s">
        <v>242</v>
      </c>
      <c r="F22" t="s">
        <v>302</v>
      </c>
      <c r="G22" t="s">
        <v>242</v>
      </c>
      <c r="H22" t="s">
        <v>308</v>
      </c>
    </row>
    <row r="23" spans="1:8" x14ac:dyDescent="0.25">
      <c r="A23" t="s">
        <v>244</v>
      </c>
      <c r="B23" t="s">
        <v>285</v>
      </c>
      <c r="C23" t="s">
        <v>244</v>
      </c>
      <c r="D23" t="s">
        <v>296</v>
      </c>
      <c r="E23" t="s">
        <v>244</v>
      </c>
      <c r="F23" t="s">
        <v>310</v>
      </c>
      <c r="G23" t="s">
        <v>244</v>
      </c>
      <c r="H23" t="s">
        <v>309</v>
      </c>
    </row>
    <row r="24" spans="1:8" x14ac:dyDescent="0.25">
      <c r="A24" t="s">
        <v>246</v>
      </c>
      <c r="B24" t="s">
        <v>286</v>
      </c>
    </row>
    <row r="25" spans="1:8" x14ac:dyDescent="0.25">
      <c r="A25" t="s">
        <v>248</v>
      </c>
      <c r="B25" t="s">
        <v>287</v>
      </c>
    </row>
    <row r="26" spans="1:8" x14ac:dyDescent="0.25">
      <c r="A26" t="s">
        <v>250</v>
      </c>
      <c r="B26" t="s">
        <v>288</v>
      </c>
    </row>
    <row r="27" spans="1:8" ht="16.5" thickBot="1" x14ac:dyDescent="0.3">
      <c r="A27" t="s">
        <v>252</v>
      </c>
      <c r="B27" t="s">
        <v>289</v>
      </c>
    </row>
    <row r="28" spans="1:8" ht="16.5" thickBot="1" x14ac:dyDescent="0.3">
      <c r="A28" s="1">
        <f ca="1">MAIN!$B$8</f>
        <v>0</v>
      </c>
      <c r="C28" s="1">
        <f ca="1">MAIN!$B$8</f>
        <v>0</v>
      </c>
      <c r="E28" s="1">
        <f ca="1">MAIN!$B$8</f>
        <v>0</v>
      </c>
      <c r="G28" s="1">
        <f ca="1">MAIN!$B$8</f>
        <v>0</v>
      </c>
    </row>
    <row r="29" spans="1:8" ht="16.5" thickBot="1" x14ac:dyDescent="0.3">
      <c r="A29" s="2">
        <f ca="1">MOD(MOD($C$13*7919+6,2147483647),COUNTA(A18:A27))+1</f>
        <v>7</v>
      </c>
      <c r="B29" s="3" t="str" cm="1">
        <f t="array" aca="1" ref="B29" ca="1">INDEX(B18:B27, A29)</f>
        <v>bow</v>
      </c>
      <c r="C29" s="2">
        <f ca="1">MOD(MOD($C$13*7919+4,2147483647),COUNTA(C18:C27))+1</f>
        <v>5</v>
      </c>
      <c r="D29" s="3" t="str" cm="1">
        <f t="array" aca="1" ref="D29" ca="1">INDEX(D18:D23, C29)</f>
        <v>crown</v>
      </c>
      <c r="E29" s="2">
        <f ca="1">MOD(MOD($C$13*7919+8,2147483647),COUNTA(E18:E27))+1</f>
        <v>3</v>
      </c>
      <c r="F29" s="3" t="str" cm="1">
        <f t="array" aca="1" ref="F29" ca="1">INDEX(F18:F23, E29)</f>
        <v>musical instrument</v>
      </c>
      <c r="G29" s="2">
        <f ca="1">MOD(MOD($C$13*7919+9,2147483647),COUNTA(G18:G27))+1</f>
        <v>4</v>
      </c>
      <c r="H29" s="3" t="str" cm="1">
        <f t="array" aca="1" ref="H29" ca="1">INDEX(H18:H23, G29)</f>
        <v>hand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D389-A9A5-4D5F-A5E1-E84AF6027078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50</v>
      </c>
    </row>
    <row r="3" spans="1:2" x14ac:dyDescent="0.25">
      <c r="A3" t="s">
        <v>3</v>
      </c>
      <c r="B3" t="s">
        <v>51</v>
      </c>
    </row>
    <row r="4" spans="1:2" x14ac:dyDescent="0.25">
      <c r="A4" t="s">
        <v>4</v>
      </c>
      <c r="B4" t="s">
        <v>52</v>
      </c>
    </row>
    <row r="5" spans="1:2" x14ac:dyDescent="0.25">
      <c r="A5" t="s">
        <v>5</v>
      </c>
      <c r="B5" t="s">
        <v>53</v>
      </c>
    </row>
    <row r="6" spans="1:2" x14ac:dyDescent="0.25">
      <c r="A6" t="s">
        <v>6</v>
      </c>
      <c r="B6" t="s">
        <v>54</v>
      </c>
    </row>
    <row r="7" spans="1:2" x14ac:dyDescent="0.25">
      <c r="A7" t="s">
        <v>7</v>
      </c>
      <c r="B7" t="s">
        <v>55</v>
      </c>
    </row>
    <row r="8" spans="1:2" ht="16.5" thickBot="1" x14ac:dyDescent="0.3">
      <c r="A8" t="s">
        <v>8</v>
      </c>
      <c r="B8" t="s">
        <v>56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Religious warriors or clerics.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43C0-0B80-4AE0-9FD0-12F07C9ECAD0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64</v>
      </c>
    </row>
    <row r="3" spans="1:2" x14ac:dyDescent="0.25">
      <c r="A3" t="s">
        <v>3</v>
      </c>
      <c r="B3" t="s">
        <v>65</v>
      </c>
    </row>
    <row r="4" spans="1:2" x14ac:dyDescent="0.25">
      <c r="A4" t="s">
        <v>4</v>
      </c>
      <c r="B4" t="s">
        <v>66</v>
      </c>
    </row>
    <row r="5" spans="1:2" x14ac:dyDescent="0.25">
      <c r="A5" t="s">
        <v>5</v>
      </c>
      <c r="B5" t="s">
        <v>67</v>
      </c>
    </row>
    <row r="6" spans="1:2" x14ac:dyDescent="0.25">
      <c r="A6" t="s">
        <v>6</v>
      </c>
      <c r="B6" t="s">
        <v>68</v>
      </c>
    </row>
    <row r="7" spans="1:2" x14ac:dyDescent="0.25">
      <c r="A7" t="s">
        <v>7</v>
      </c>
      <c r="B7" t="s">
        <v>69</v>
      </c>
    </row>
    <row r="8" spans="1:2" ht="16.5" thickBot="1" x14ac:dyDescent="0.3">
      <c r="A8" t="s">
        <v>8</v>
      </c>
      <c r="B8" t="s">
        <v>70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A Minor Enemy (Q) or a Major Enemy (R) of the PC or party is actively opposing them.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21C1-B60C-4CD8-ABB3-71BB8859EEFD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71</v>
      </c>
    </row>
    <row r="3" spans="1:2" x14ac:dyDescent="0.25">
      <c r="A3" t="s">
        <v>3</v>
      </c>
      <c r="B3" t="s">
        <v>72</v>
      </c>
    </row>
    <row r="4" spans="1:2" x14ac:dyDescent="0.25">
      <c r="A4" t="s">
        <v>4</v>
      </c>
      <c r="B4" t="s">
        <v>73</v>
      </c>
    </row>
    <row r="5" spans="1:2" x14ac:dyDescent="0.25">
      <c r="A5" t="s">
        <v>5</v>
      </c>
      <c r="B5" t="s">
        <v>74</v>
      </c>
    </row>
    <row r="6" spans="1:2" x14ac:dyDescent="0.25">
      <c r="A6" t="s">
        <v>6</v>
      </c>
      <c r="B6" t="s">
        <v>75</v>
      </c>
    </row>
    <row r="7" spans="1:2" x14ac:dyDescent="0.25">
      <c r="A7" t="s">
        <v>7</v>
      </c>
      <c r="B7" t="s">
        <v>76</v>
      </c>
    </row>
    <row r="8" spans="1:2" ht="16.5" thickBot="1" x14ac:dyDescent="0.3">
      <c r="A8" t="s">
        <v>8</v>
      </c>
      <c r="B8" t="s">
        <v>77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A large loss of monetary wealth.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B5E7-E50B-4360-872E-1563FE730E5D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78</v>
      </c>
    </row>
    <row r="3" spans="1:2" x14ac:dyDescent="0.25">
      <c r="A3" t="s">
        <v>3</v>
      </c>
      <c r="B3" t="s">
        <v>79</v>
      </c>
    </row>
    <row r="4" spans="1:2" x14ac:dyDescent="0.25">
      <c r="A4" t="s">
        <v>4</v>
      </c>
      <c r="B4" t="s">
        <v>80</v>
      </c>
    </row>
    <row r="5" spans="1:2" x14ac:dyDescent="0.25">
      <c r="A5" t="s">
        <v>5</v>
      </c>
      <c r="B5" t="s">
        <v>81</v>
      </c>
    </row>
    <row r="6" spans="1:2" x14ac:dyDescent="0.25">
      <c r="A6" t="s">
        <v>6</v>
      </c>
      <c r="B6" t="s">
        <v>82</v>
      </c>
    </row>
    <row r="7" spans="1:2" x14ac:dyDescent="0.25">
      <c r="A7" t="s">
        <v>7</v>
      </c>
      <c r="B7" t="s">
        <v>83</v>
      </c>
    </row>
    <row r="8" spans="1:2" ht="16.5" thickBot="1" x14ac:dyDescent="0.3">
      <c r="A8" t="s">
        <v>8</v>
      </c>
      <c r="B8" t="s">
        <v>84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Obtaining a small amount of money or resources.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081B-D2F5-4C88-8C77-09527ECAF7C2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85</v>
      </c>
    </row>
    <row r="3" spans="1:2" x14ac:dyDescent="0.25">
      <c r="A3" t="s">
        <v>3</v>
      </c>
      <c r="B3" t="s">
        <v>86</v>
      </c>
    </row>
    <row r="4" spans="1:2" x14ac:dyDescent="0.25">
      <c r="A4" t="s">
        <v>4</v>
      </c>
      <c r="B4" t="s">
        <v>87</v>
      </c>
    </row>
    <row r="5" spans="1:2" x14ac:dyDescent="0.25">
      <c r="A5" t="s">
        <v>5</v>
      </c>
      <c r="B5" t="s">
        <v>88</v>
      </c>
    </row>
    <row r="6" spans="1:2" x14ac:dyDescent="0.25">
      <c r="A6" t="s">
        <v>6</v>
      </c>
      <c r="B6" t="s">
        <v>89</v>
      </c>
    </row>
    <row r="7" spans="1:2" x14ac:dyDescent="0.25">
      <c r="A7" t="s">
        <v>7</v>
      </c>
      <c r="B7" t="s">
        <v>90</v>
      </c>
    </row>
    <row r="8" spans="1:2" ht="16.5" thickBot="1" x14ac:dyDescent="0.3">
      <c r="A8" t="s">
        <v>8</v>
      </c>
      <c r="B8" t="s">
        <v>91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Being granted a large amount of monetary wealth.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7CC9-1800-413A-973C-5FFFF189D146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92</v>
      </c>
    </row>
    <row r="3" spans="1:2" x14ac:dyDescent="0.25">
      <c r="A3" t="s">
        <v>3</v>
      </c>
      <c r="B3" t="s">
        <v>93</v>
      </c>
    </row>
    <row r="4" spans="1:2" x14ac:dyDescent="0.25">
      <c r="A4" t="s">
        <v>4</v>
      </c>
      <c r="B4" t="s">
        <v>94</v>
      </c>
    </row>
    <row r="5" spans="1:2" x14ac:dyDescent="0.25">
      <c r="A5" t="s">
        <v>5</v>
      </c>
      <c r="B5" t="s">
        <v>95</v>
      </c>
    </row>
    <row r="6" spans="1:2" x14ac:dyDescent="0.25">
      <c r="A6" t="s">
        <v>6</v>
      </c>
      <c r="B6" t="s">
        <v>96</v>
      </c>
    </row>
    <row r="7" spans="1:2" x14ac:dyDescent="0.25">
      <c r="A7" t="s">
        <v>7</v>
      </c>
      <c r="B7" t="s">
        <v>97</v>
      </c>
    </row>
    <row r="8" spans="1:2" ht="16.5" thickBot="1" x14ac:dyDescent="0.3">
      <c r="A8" t="s">
        <v>8</v>
      </c>
      <c r="B8" t="s">
        <v>98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Thieves or fraudsters. The NPC was the victim of theft or deception.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B4AB-E3F6-41F2-A858-EC2193E131F3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99</v>
      </c>
    </row>
    <row r="3" spans="1:2" x14ac:dyDescent="0.25">
      <c r="A3" t="s">
        <v>3</v>
      </c>
      <c r="B3" t="s">
        <v>100</v>
      </c>
    </row>
    <row r="4" spans="1:2" x14ac:dyDescent="0.25">
      <c r="A4" t="s">
        <v>4</v>
      </c>
      <c r="B4" t="s">
        <v>101</v>
      </c>
    </row>
    <row r="5" spans="1:2" x14ac:dyDescent="0.25">
      <c r="A5" t="s">
        <v>5</v>
      </c>
      <c r="B5" t="s">
        <v>102</v>
      </c>
    </row>
    <row r="6" spans="1:2" x14ac:dyDescent="0.25">
      <c r="A6" t="s">
        <v>6</v>
      </c>
      <c r="B6" t="s">
        <v>103</v>
      </c>
    </row>
    <row r="7" spans="1:2" x14ac:dyDescent="0.25">
      <c r="A7" t="s">
        <v>7</v>
      </c>
      <c r="B7" t="s">
        <v>104</v>
      </c>
    </row>
    <row r="8" spans="1:2" ht="16.5" thickBot="1" x14ac:dyDescent="0.3">
      <c r="A8" t="s">
        <v>8</v>
      </c>
      <c r="B8" t="s">
        <v>105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Committed minor crime of theft, fraud, or assault.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D27A-BBA4-474B-87F8-C23663636D31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106</v>
      </c>
    </row>
    <row r="3" spans="1:2" x14ac:dyDescent="0.25">
      <c r="A3" t="s">
        <v>3</v>
      </c>
      <c r="B3" t="s">
        <v>107</v>
      </c>
    </row>
    <row r="4" spans="1:2" x14ac:dyDescent="0.25">
      <c r="A4" t="s">
        <v>4</v>
      </c>
      <c r="B4" t="s">
        <v>108</v>
      </c>
    </row>
    <row r="5" spans="1:2" x14ac:dyDescent="0.25">
      <c r="A5" t="s">
        <v>5</v>
      </c>
      <c r="B5" t="s">
        <v>109</v>
      </c>
    </row>
    <row r="6" spans="1:2" x14ac:dyDescent="0.25">
      <c r="A6" t="s">
        <v>6</v>
      </c>
      <c r="B6" t="s">
        <v>110</v>
      </c>
    </row>
    <row r="7" spans="1:2" x14ac:dyDescent="0.25">
      <c r="A7" t="s">
        <v>7</v>
      </c>
      <c r="B7" t="s">
        <v>111</v>
      </c>
    </row>
    <row r="8" spans="1:2" ht="16.5" thickBot="1" x14ac:dyDescent="0.3">
      <c r="A8" t="s">
        <v>8</v>
      </c>
      <c r="B8" t="s">
        <v>112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Food (d10): 1. fresh fruits and vegetables; 2. cured meats; 3. cheeses; 4. grain; 5. preserved fruits; 6. nuts; 7. preserved vegetables; 8. oils; 9. live animals; 10. foreign delicacies.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FC55-4B03-4C69-9030-A1F16A93E893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27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113</v>
      </c>
    </row>
    <row r="3" spans="1:2" x14ac:dyDescent="0.25">
      <c r="A3" t="s">
        <v>3</v>
      </c>
      <c r="B3" t="s">
        <v>114</v>
      </c>
    </row>
    <row r="4" spans="1:2" x14ac:dyDescent="0.25">
      <c r="A4" t="s">
        <v>4</v>
      </c>
      <c r="B4" t="s">
        <v>115</v>
      </c>
    </row>
    <row r="5" spans="1:2" x14ac:dyDescent="0.25">
      <c r="A5" t="s">
        <v>5</v>
      </c>
      <c r="B5" t="s">
        <v>116</v>
      </c>
    </row>
    <row r="6" spans="1:2" x14ac:dyDescent="0.25">
      <c r="A6" t="s">
        <v>6</v>
      </c>
      <c r="B6" t="s">
        <v>117</v>
      </c>
    </row>
    <row r="7" spans="1:2" x14ac:dyDescent="0.25">
      <c r="A7" t="s">
        <v>7</v>
      </c>
      <c r="B7" t="s">
        <v>118</v>
      </c>
    </row>
    <row r="8" spans="1:2" ht="16.5" thickBot="1" x14ac:dyDescent="0.3">
      <c r="A8" t="s">
        <v>8</v>
      </c>
      <c r="B8" t="s">
        <v>119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The south.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59CD-678E-48B1-999E-20D8275BD167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120</v>
      </c>
    </row>
    <row r="3" spans="1:2" x14ac:dyDescent="0.25">
      <c r="A3" t="s">
        <v>3</v>
      </c>
      <c r="B3" t="s">
        <v>121</v>
      </c>
    </row>
    <row r="4" spans="1:2" x14ac:dyDescent="0.25">
      <c r="A4" t="s">
        <v>4</v>
      </c>
      <c r="B4" t="s">
        <v>122</v>
      </c>
    </row>
    <row r="5" spans="1:2" x14ac:dyDescent="0.25">
      <c r="A5" t="s">
        <v>5</v>
      </c>
      <c r="B5" t="s">
        <v>123</v>
      </c>
    </row>
    <row r="6" spans="1:2" x14ac:dyDescent="0.25">
      <c r="A6" t="s">
        <v>6</v>
      </c>
      <c r="B6" t="s">
        <v>124</v>
      </c>
    </row>
    <row r="7" spans="1:2" x14ac:dyDescent="0.25">
      <c r="A7" t="s">
        <v>7</v>
      </c>
      <c r="B7" t="s">
        <v>125</v>
      </c>
    </row>
    <row r="8" spans="1:2" ht="16.5" thickBot="1" x14ac:dyDescent="0.3">
      <c r="A8" t="s">
        <v>8</v>
      </c>
      <c r="B8" t="s">
        <v>126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Deliver a message.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B9F7-CBB0-480B-B374-63DFDFBBE96C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127</v>
      </c>
    </row>
    <row r="3" spans="1:2" x14ac:dyDescent="0.25">
      <c r="A3" t="s">
        <v>3</v>
      </c>
      <c r="B3" t="s">
        <v>128</v>
      </c>
    </row>
    <row r="4" spans="1:2" x14ac:dyDescent="0.25">
      <c r="A4" t="s">
        <v>4</v>
      </c>
      <c r="B4" t="s">
        <v>129</v>
      </c>
    </row>
    <row r="5" spans="1:2" x14ac:dyDescent="0.25">
      <c r="A5" t="s">
        <v>5</v>
      </c>
      <c r="B5" t="s">
        <v>130</v>
      </c>
    </row>
    <row r="6" spans="1:2" x14ac:dyDescent="0.25">
      <c r="A6" t="s">
        <v>6</v>
      </c>
      <c r="B6" t="s">
        <v>131</v>
      </c>
    </row>
    <row r="7" spans="1:2" x14ac:dyDescent="0.25">
      <c r="A7" t="s">
        <v>7</v>
      </c>
      <c r="B7" t="s">
        <v>132</v>
      </c>
    </row>
    <row r="8" spans="1:2" ht="16.5" thickBot="1" x14ac:dyDescent="0.3">
      <c r="A8" t="s">
        <v>8</v>
      </c>
      <c r="B8" t="s">
        <v>133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Aid or slay an NPC.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EEC4-B656-4BEC-BE91-7828E03357F5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134</v>
      </c>
    </row>
    <row r="3" spans="1:2" x14ac:dyDescent="0.25">
      <c r="A3" t="s">
        <v>3</v>
      </c>
      <c r="B3" t="s">
        <v>135</v>
      </c>
    </row>
    <row r="4" spans="1:2" x14ac:dyDescent="0.25">
      <c r="A4" t="s">
        <v>4</v>
      </c>
      <c r="B4" t="s">
        <v>136</v>
      </c>
    </row>
    <row r="5" spans="1:2" x14ac:dyDescent="0.25">
      <c r="A5" t="s">
        <v>5</v>
      </c>
      <c r="B5" t="s">
        <v>137</v>
      </c>
    </row>
    <row r="6" spans="1:2" x14ac:dyDescent="0.25">
      <c r="A6" t="s">
        <v>6</v>
      </c>
      <c r="B6" t="s">
        <v>138</v>
      </c>
    </row>
    <row r="7" spans="1:2" x14ac:dyDescent="0.25">
      <c r="A7" t="s">
        <v>7</v>
      </c>
      <c r="B7" t="s">
        <v>139</v>
      </c>
    </row>
    <row r="8" spans="1:2" ht="16.5" thickBot="1" x14ac:dyDescent="0.3">
      <c r="A8" t="s">
        <v>8</v>
      </c>
      <c r="B8" t="s">
        <v>140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Helped unfortunates with financial aid.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3552-2A24-4DD8-8634-44BE7312C0C6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141</v>
      </c>
    </row>
    <row r="3" spans="1:2" x14ac:dyDescent="0.25">
      <c r="A3" t="s">
        <v>3</v>
      </c>
      <c r="B3" t="s">
        <v>142</v>
      </c>
    </row>
    <row r="4" spans="1:2" x14ac:dyDescent="0.25">
      <c r="A4" t="s">
        <v>4</v>
      </c>
      <c r="B4" t="s">
        <v>143</v>
      </c>
    </row>
    <row r="5" spans="1:2" x14ac:dyDescent="0.25">
      <c r="A5" t="s">
        <v>5</v>
      </c>
      <c r="B5" t="s">
        <v>144</v>
      </c>
    </row>
    <row r="6" spans="1:2" x14ac:dyDescent="0.25">
      <c r="A6" t="s">
        <v>6</v>
      </c>
      <c r="B6" t="s">
        <v>145</v>
      </c>
    </row>
    <row r="7" spans="1:2" x14ac:dyDescent="0.25">
      <c r="A7" t="s">
        <v>7</v>
      </c>
      <c r="B7" t="s">
        <v>146</v>
      </c>
    </row>
    <row r="8" spans="1:2" ht="16.5" thickBot="1" x14ac:dyDescent="0.3">
      <c r="A8" t="s">
        <v>8</v>
      </c>
      <c r="B8" t="s">
        <v>147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Stole from friends or family.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EE1E-EB34-4D5F-AF8B-4E3CE4C08CD3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27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148</v>
      </c>
    </row>
    <row r="3" spans="1:2" x14ac:dyDescent="0.25">
      <c r="A3" t="s">
        <v>3</v>
      </c>
      <c r="B3" t="s">
        <v>149</v>
      </c>
    </row>
    <row r="4" spans="1:2" x14ac:dyDescent="0.25">
      <c r="A4" t="s">
        <v>4</v>
      </c>
      <c r="B4" t="s">
        <v>150</v>
      </c>
    </row>
    <row r="5" spans="1:2" x14ac:dyDescent="0.25">
      <c r="A5" t="s">
        <v>5</v>
      </c>
      <c r="B5" t="s">
        <v>151</v>
      </c>
    </row>
    <row r="6" spans="1:2" x14ac:dyDescent="0.25">
      <c r="A6" t="s">
        <v>6</v>
      </c>
      <c r="B6" t="s">
        <v>152</v>
      </c>
    </row>
    <row r="7" spans="1:2" x14ac:dyDescent="0.25">
      <c r="A7" t="s">
        <v>7</v>
      </c>
      <c r="B7" t="s">
        <v>153</v>
      </c>
    </row>
    <row r="8" spans="1:2" ht="16.5" thickBot="1" x14ac:dyDescent="0.3">
      <c r="A8" t="s">
        <v>8</v>
      </c>
      <c r="B8" t="s">
        <v>154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A business rival.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1AA6-4A58-4AD2-A910-128B7F6A7180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155</v>
      </c>
    </row>
    <row r="3" spans="1:2" x14ac:dyDescent="0.25">
      <c r="A3" t="s">
        <v>3</v>
      </c>
      <c r="B3" t="s">
        <v>156</v>
      </c>
    </row>
    <row r="4" spans="1:2" x14ac:dyDescent="0.25">
      <c r="A4" t="s">
        <v>4</v>
      </c>
      <c r="B4" t="s">
        <v>157</v>
      </c>
    </row>
    <row r="5" spans="1:2" x14ac:dyDescent="0.25">
      <c r="A5" t="s">
        <v>5</v>
      </c>
      <c r="B5" t="s">
        <v>158</v>
      </c>
    </row>
    <row r="6" spans="1:2" x14ac:dyDescent="0.25">
      <c r="A6" t="s">
        <v>6</v>
      </c>
      <c r="B6" t="s">
        <v>159</v>
      </c>
    </row>
    <row r="7" spans="1:2" x14ac:dyDescent="0.25">
      <c r="A7" t="s">
        <v>7</v>
      </c>
      <c r="B7" t="s">
        <v>160</v>
      </c>
    </row>
    <row r="8" spans="1:2" ht="16.5" thickBot="1" x14ac:dyDescent="0.3">
      <c r="A8" t="s">
        <v>8</v>
      </c>
      <c r="B8" t="s">
        <v>161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A noble's family.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EB89-ADD1-4BD7-9CD9-013EECD8786F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162</v>
      </c>
    </row>
    <row r="3" spans="1:2" x14ac:dyDescent="0.25">
      <c r="A3" t="s">
        <v>3</v>
      </c>
      <c r="B3" t="s">
        <v>163</v>
      </c>
    </row>
    <row r="4" spans="1:2" x14ac:dyDescent="0.25">
      <c r="A4" t="s">
        <v>4</v>
      </c>
      <c r="B4" t="s">
        <v>164</v>
      </c>
    </row>
    <row r="5" spans="1:2" x14ac:dyDescent="0.25">
      <c r="A5" t="s">
        <v>5</v>
      </c>
      <c r="B5" t="s">
        <v>165</v>
      </c>
    </row>
    <row r="6" spans="1:2" x14ac:dyDescent="0.25">
      <c r="A6" t="s">
        <v>6</v>
      </c>
      <c r="B6" t="s">
        <v>166</v>
      </c>
    </row>
    <row r="7" spans="1:2" x14ac:dyDescent="0.25">
      <c r="A7" t="s">
        <v>7</v>
      </c>
      <c r="B7" t="s">
        <v>167</v>
      </c>
    </row>
    <row r="8" spans="1:2" ht="16.5" thickBot="1" x14ac:dyDescent="0.3">
      <c r="A8" t="s">
        <v>8</v>
      </c>
      <c r="B8" t="s">
        <v>168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A benign phantom who provides small comforts and messages.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3DD5-FE56-48B2-894C-181EEE2B55E6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169</v>
      </c>
    </row>
    <row r="3" spans="1:2" x14ac:dyDescent="0.25">
      <c r="A3" t="s">
        <v>3</v>
      </c>
      <c r="B3" t="s">
        <v>170</v>
      </c>
    </row>
    <row r="4" spans="1:2" x14ac:dyDescent="0.25">
      <c r="A4" t="s">
        <v>4</v>
      </c>
      <c r="B4" t="s">
        <v>171</v>
      </c>
    </row>
    <row r="5" spans="1:2" x14ac:dyDescent="0.25">
      <c r="A5" t="s">
        <v>5</v>
      </c>
      <c r="B5" t="s">
        <v>172</v>
      </c>
    </row>
    <row r="6" spans="1:2" x14ac:dyDescent="0.25">
      <c r="A6" t="s">
        <v>6</v>
      </c>
      <c r="B6" t="s">
        <v>173</v>
      </c>
    </row>
    <row r="7" spans="1:2" x14ac:dyDescent="0.25">
      <c r="A7" t="s">
        <v>7</v>
      </c>
      <c r="B7" t="s">
        <v>174</v>
      </c>
    </row>
    <row r="8" spans="1:2" ht="16.5" thickBot="1" x14ac:dyDescent="0.3">
      <c r="A8" t="s">
        <v>8</v>
      </c>
      <c r="B8" t="s">
        <v>175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Extreme heat or cold.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CD6D-0B02-4F5C-B9BA-3861D9C1A104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24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176</v>
      </c>
    </row>
    <row r="3" spans="1:2" x14ac:dyDescent="0.25">
      <c r="A3" t="s">
        <v>3</v>
      </c>
      <c r="B3" t="s">
        <v>177</v>
      </c>
    </row>
    <row r="4" spans="1:2" x14ac:dyDescent="0.25">
      <c r="A4" t="s">
        <v>4</v>
      </c>
      <c r="B4" t="s">
        <v>178</v>
      </c>
    </row>
    <row r="5" spans="1:2" x14ac:dyDescent="0.25">
      <c r="A5" t="s">
        <v>5</v>
      </c>
      <c r="B5" t="s">
        <v>179</v>
      </c>
    </row>
    <row r="6" spans="1:2" x14ac:dyDescent="0.25">
      <c r="A6" t="s">
        <v>6</v>
      </c>
      <c r="B6" t="s">
        <v>180</v>
      </c>
    </row>
    <row r="7" spans="1:2" x14ac:dyDescent="0.25">
      <c r="A7" t="s">
        <v>7</v>
      </c>
      <c r="B7" t="s">
        <v>181</v>
      </c>
    </row>
    <row r="8" spans="1:2" ht="16.5" thickBot="1" x14ac:dyDescent="0.3">
      <c r="A8" t="s">
        <v>8</v>
      </c>
      <c r="B8" t="s">
        <v>182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Weapons or armor.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CBD6-5903-4DA4-A903-A9C629779B23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183</v>
      </c>
    </row>
    <row r="3" spans="1:2" x14ac:dyDescent="0.25">
      <c r="A3" t="s">
        <v>3</v>
      </c>
      <c r="B3" t="s">
        <v>184</v>
      </c>
    </row>
    <row r="4" spans="1:2" x14ac:dyDescent="0.25">
      <c r="A4" t="s">
        <v>4</v>
      </c>
      <c r="B4" t="s">
        <v>185</v>
      </c>
    </row>
    <row r="5" spans="1:2" x14ac:dyDescent="0.25">
      <c r="A5" t="s">
        <v>5</v>
      </c>
      <c r="B5" t="s">
        <v>186</v>
      </c>
    </row>
    <row r="6" spans="1:2" x14ac:dyDescent="0.25">
      <c r="A6" t="s">
        <v>6</v>
      </c>
      <c r="B6" t="s">
        <v>187</v>
      </c>
    </row>
    <row r="7" spans="1:2" x14ac:dyDescent="0.25">
      <c r="A7" t="s">
        <v>7</v>
      </c>
      <c r="B7" t="s">
        <v>188</v>
      </c>
    </row>
    <row r="8" spans="1:2" ht="16.5" thickBot="1" x14ac:dyDescent="0.3">
      <c r="A8" t="s">
        <v>8</v>
      </c>
      <c r="B8" t="s">
        <v>189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A family friend of the NPC has taken ill, gone mad, or died suddenly.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637D-8F47-4CFB-80D2-63F3B009B14C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190</v>
      </c>
    </row>
    <row r="3" spans="1:2" x14ac:dyDescent="0.25">
      <c r="A3" t="s">
        <v>3</v>
      </c>
      <c r="B3" t="s">
        <v>191</v>
      </c>
    </row>
    <row r="4" spans="1:2" x14ac:dyDescent="0.25">
      <c r="A4" t="s">
        <v>4</v>
      </c>
      <c r="B4" t="s">
        <v>192</v>
      </c>
    </row>
    <row r="5" spans="1:2" x14ac:dyDescent="0.25">
      <c r="A5" t="s">
        <v>5</v>
      </c>
      <c r="B5" t="s">
        <v>193</v>
      </c>
    </row>
    <row r="6" spans="1:2" x14ac:dyDescent="0.25">
      <c r="A6" t="s">
        <v>6</v>
      </c>
      <c r="B6" t="s">
        <v>194</v>
      </c>
    </row>
    <row r="7" spans="1:2" x14ac:dyDescent="0.25">
      <c r="A7" t="s">
        <v>7</v>
      </c>
      <c r="B7" t="s">
        <v>195</v>
      </c>
    </row>
    <row r="8" spans="1:2" ht="16.5" thickBot="1" x14ac:dyDescent="0.3">
      <c r="A8" t="s">
        <v>8</v>
      </c>
      <c r="B8" t="s">
        <v>196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The government is investigating the PC or party.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8565-0B1F-437F-8226-9BFC64B8C120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197</v>
      </c>
    </row>
    <row r="3" spans="1:2" x14ac:dyDescent="0.25">
      <c r="A3" t="s">
        <v>3</v>
      </c>
      <c r="B3" t="s">
        <v>198</v>
      </c>
    </row>
    <row r="4" spans="1:2" x14ac:dyDescent="0.25">
      <c r="A4" t="s">
        <v>4</v>
      </c>
      <c r="B4" t="s">
        <v>199</v>
      </c>
    </row>
    <row r="5" spans="1:2" x14ac:dyDescent="0.25">
      <c r="A5" t="s">
        <v>5</v>
      </c>
      <c r="B5" t="s">
        <v>200</v>
      </c>
    </row>
    <row r="6" spans="1:2" x14ac:dyDescent="0.25">
      <c r="A6" t="s">
        <v>6</v>
      </c>
      <c r="B6" t="s">
        <v>201</v>
      </c>
    </row>
    <row r="7" spans="1:2" x14ac:dyDescent="0.25">
      <c r="A7" t="s">
        <v>7</v>
      </c>
      <c r="B7" t="s">
        <v>202</v>
      </c>
    </row>
    <row r="8" spans="1:2" ht="16.5" thickBot="1" x14ac:dyDescent="0.3">
      <c r="A8" t="s">
        <v>8</v>
      </c>
      <c r="B8" t="s">
        <v>203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A challenge has been issued by the local ruler, calling for Feats of Strength, a Battle of Wits, or some other display of skill.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E8E1-3071-4FCA-88DF-B83923AE21BB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204</v>
      </c>
    </row>
    <row r="3" spans="1:2" x14ac:dyDescent="0.25">
      <c r="A3" t="s">
        <v>3</v>
      </c>
      <c r="B3" t="s">
        <v>205</v>
      </c>
    </row>
    <row r="4" spans="1:2" x14ac:dyDescent="0.25">
      <c r="A4" t="s">
        <v>4</v>
      </c>
      <c r="B4" t="s">
        <v>206</v>
      </c>
    </row>
    <row r="5" spans="1:2" x14ac:dyDescent="0.25">
      <c r="A5" t="s">
        <v>5</v>
      </c>
      <c r="B5" t="s">
        <v>207</v>
      </c>
    </row>
    <row r="6" spans="1:2" x14ac:dyDescent="0.25">
      <c r="A6" t="s">
        <v>6</v>
      </c>
      <c r="B6" t="s">
        <v>208</v>
      </c>
    </row>
    <row r="7" spans="1:2" x14ac:dyDescent="0.25">
      <c r="A7" t="s">
        <v>7</v>
      </c>
      <c r="B7" t="s">
        <v>209</v>
      </c>
    </row>
    <row r="8" spans="1:2" ht="16.5" thickBot="1" x14ac:dyDescent="0.3">
      <c r="A8" t="s">
        <v>8</v>
      </c>
      <c r="B8" t="s">
        <v>210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A noble has been accused of a terrible crime.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16E3-1A49-45F5-96EC-34216F944D9D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211</v>
      </c>
    </row>
    <row r="3" spans="1:2" x14ac:dyDescent="0.25">
      <c r="A3" t="s">
        <v>3</v>
      </c>
      <c r="B3" t="s">
        <v>212</v>
      </c>
    </row>
    <row r="4" spans="1:2" x14ac:dyDescent="0.25">
      <c r="A4" t="s">
        <v>4</v>
      </c>
      <c r="B4" t="s">
        <v>213</v>
      </c>
    </row>
    <row r="5" spans="1:2" x14ac:dyDescent="0.25">
      <c r="A5" t="s">
        <v>5</v>
      </c>
      <c r="B5" t="s">
        <v>214</v>
      </c>
    </row>
    <row r="6" spans="1:2" x14ac:dyDescent="0.25">
      <c r="A6" t="s">
        <v>6</v>
      </c>
      <c r="B6" t="s">
        <v>215</v>
      </c>
    </row>
    <row r="7" spans="1:2" x14ac:dyDescent="0.25">
      <c r="A7" t="s">
        <v>7</v>
      </c>
      <c r="B7" t="s">
        <v>216</v>
      </c>
    </row>
    <row r="8" spans="1:2" ht="16.5" thickBot="1" x14ac:dyDescent="0.3">
      <c r="A8" t="s">
        <v>8</v>
      </c>
      <c r="B8" t="s">
        <v>217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A new edict or sanction has recently been announced, causing a radical shift in the local population's mood.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C48F-1358-42CD-B548-82242FC141A2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218</v>
      </c>
    </row>
    <row r="3" spans="1:2" x14ac:dyDescent="0.25">
      <c r="A3" t="s">
        <v>3</v>
      </c>
      <c r="B3" t="s">
        <v>219</v>
      </c>
    </row>
    <row r="4" spans="1:2" x14ac:dyDescent="0.25">
      <c r="A4" t="s">
        <v>4</v>
      </c>
      <c r="B4" t="s">
        <v>220</v>
      </c>
    </row>
    <row r="5" spans="1:2" x14ac:dyDescent="0.25">
      <c r="A5" t="s">
        <v>5</v>
      </c>
      <c r="B5" t="s">
        <v>221</v>
      </c>
    </row>
    <row r="6" spans="1:2" x14ac:dyDescent="0.25">
      <c r="A6" t="s">
        <v>6</v>
      </c>
      <c r="B6" t="s">
        <v>222</v>
      </c>
    </row>
    <row r="7" spans="1:2" x14ac:dyDescent="0.25">
      <c r="A7" t="s">
        <v>7</v>
      </c>
      <c r="B7" t="s">
        <v>223</v>
      </c>
    </row>
    <row r="8" spans="1:2" ht="16.5" thickBot="1" x14ac:dyDescent="0.3">
      <c r="A8" t="s">
        <v>8</v>
      </c>
      <c r="B8" t="s">
        <v>224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Hallucinations of the landscape of the deity's Plane haunt the waking mind.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2E39-D290-4B6D-9966-DE8CE2397440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57</v>
      </c>
    </row>
    <row r="3" spans="1:2" x14ac:dyDescent="0.25">
      <c r="A3" t="s">
        <v>3</v>
      </c>
      <c r="B3" t="s">
        <v>58</v>
      </c>
    </row>
    <row r="4" spans="1:2" x14ac:dyDescent="0.25">
      <c r="A4" t="s">
        <v>4</v>
      </c>
      <c r="B4" t="s">
        <v>59</v>
      </c>
    </row>
    <row r="5" spans="1:2" x14ac:dyDescent="0.25">
      <c r="A5" t="s">
        <v>5</v>
      </c>
      <c r="B5" t="s">
        <v>60</v>
      </c>
    </row>
    <row r="6" spans="1:2" x14ac:dyDescent="0.25">
      <c r="A6" t="s">
        <v>6</v>
      </c>
      <c r="B6" t="s">
        <v>61</v>
      </c>
    </row>
    <row r="7" spans="1:2" x14ac:dyDescent="0.25">
      <c r="A7" t="s">
        <v>7</v>
      </c>
      <c r="B7" t="s">
        <v>62</v>
      </c>
    </row>
    <row r="8" spans="1:2" ht="16.5" thickBot="1" x14ac:dyDescent="0.3">
      <c r="A8" t="s">
        <v>8</v>
      </c>
      <c r="B8" t="s">
        <v>63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Time and space are on vacation here. Non-causality is a possibility. Things might get dimensionally weird, and non-Euclidian geometry abounds.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05B2-530B-410E-8498-2409CCAC6904}">
  <sheetPr>
    <tabColor rgb="FF92D050"/>
  </sheetPr>
  <dimension ref="A1:B10"/>
  <sheetViews>
    <sheetView workbookViewId="0">
      <selection activeCell="A9" sqref="A9"/>
    </sheetView>
  </sheetViews>
  <sheetFormatPr defaultRowHeight="15.75" x14ac:dyDescent="0.25"/>
  <cols>
    <col min="1" max="1" width="15.875" customWidth="1"/>
    <col min="2" max="2" width="30.875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</v>
      </c>
      <c r="B2" t="s">
        <v>225</v>
      </c>
    </row>
    <row r="3" spans="1:2" x14ac:dyDescent="0.25">
      <c r="A3" t="s">
        <v>3</v>
      </c>
      <c r="B3" t="s">
        <v>226</v>
      </c>
    </row>
    <row r="4" spans="1:2" x14ac:dyDescent="0.25">
      <c r="A4" t="s">
        <v>4</v>
      </c>
      <c r="B4" t="s">
        <v>227</v>
      </c>
    </row>
    <row r="5" spans="1:2" x14ac:dyDescent="0.25">
      <c r="A5" t="s">
        <v>5</v>
      </c>
      <c r="B5" t="s">
        <v>228</v>
      </c>
    </row>
    <row r="6" spans="1:2" x14ac:dyDescent="0.25">
      <c r="A6" t="s">
        <v>6</v>
      </c>
      <c r="B6" t="s">
        <v>229</v>
      </c>
    </row>
    <row r="7" spans="1:2" x14ac:dyDescent="0.25">
      <c r="A7" t="s">
        <v>7</v>
      </c>
      <c r="B7" t="s">
        <v>230</v>
      </c>
    </row>
    <row r="8" spans="1:2" ht="16.5" thickBot="1" x14ac:dyDescent="0.3">
      <c r="A8" t="s">
        <v>8</v>
      </c>
      <c r="B8" t="s">
        <v>231</v>
      </c>
    </row>
    <row r="9" spans="1:2" ht="16.5" thickBot="1" x14ac:dyDescent="0.3">
      <c r="A9" s="1">
        <f ca="1">MAIN!$B$8</f>
        <v>0</v>
      </c>
    </row>
    <row r="10" spans="1:2" ht="16.5" thickBot="1" x14ac:dyDescent="0.3">
      <c r="A10" s="2">
        <f ca="1">MOD(MOD($A$9*7919+7, 2147483647), 20) + 1</f>
        <v>8</v>
      </c>
      <c r="B10" s="3" t="str" cm="1">
        <f t="array" aca="1" ref="B10" ca="1">INDEX($B$2:$B$8, MATCH(A10, --LEFT($A$2:$A$8, SEARCH("-", $A$2:$A$8)-1), 1))</f>
        <v>Thralls under a larger power, acquiring resources, knowledge, manpower for a larger plan.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34</vt:i4>
      </vt:variant>
    </vt:vector>
  </HeadingPairs>
  <TitlesOfParts>
    <vt:vector size="34" baseType="lpstr">
      <vt:lpstr>MAIN</vt:lpstr>
      <vt:lpstr>Reaction</vt:lpstr>
      <vt:lpstr>Motivation</vt:lpstr>
      <vt:lpstr>Area</vt:lpstr>
      <vt:lpstr>A</vt:lpstr>
      <vt:lpstr>B</vt:lpstr>
      <vt:lpstr>C</vt:lpstr>
      <vt:lpstr>C_ITEMS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AA</vt:lpstr>
      <vt:lpstr>BB</vt:lpstr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Смирнов Роман Олегович</cp:lastModifiedBy>
  <dcterms:modified xsi:type="dcterms:W3CDTF">2026-09-29T11:15:22Z</dcterms:modified>
</cp:coreProperties>
</file>