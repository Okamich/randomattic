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0"/>
  <workbookPr codeName="ЭтаКнига" defaultThemeVersion="166925"/>
  <mc:AlternateContent xmlns:mc="http://schemas.openxmlformats.org/markup-compatibility/2006">
    <mc:Choice Requires="x15">
      <x15ac:absPath xmlns:x15ac="http://schemas.microsoft.com/office/spreadsheetml/2010/11/ac" url="D:\!настолочки мои\DnD\5 редакция\!Алдария\"/>
    </mc:Choice>
  </mc:AlternateContent>
  <xr:revisionPtr revIDLastSave="0" documentId="13_ncr:1_{16919C8A-A170-449D-A3F7-355C89C93918}" xr6:coauthVersionLast="36" xr6:coauthVersionMax="36" xr10:uidLastSave="{00000000-0000-0000-0000-000000000000}"/>
  <bookViews>
    <workbookView xWindow="0" yWindow="0" windowWidth="22305" windowHeight="10665" tabRatio="875" activeTab="2" xr2:uid="{903FFA00-2DAC-4A76-905C-1299C2B7293C}"/>
  </bookViews>
  <sheets>
    <sheet name="Размер" sheetId="3" r:id="rId1"/>
    <sheet name="Планировка города" sheetId="4" r:id="rId2"/>
    <sheet name="Здания" sheetId="2" r:id="rId3"/>
    <sheet name="О Поселении" sheetId="1" r:id="rId4"/>
    <sheet name="Что в таверне..." sheetId="36" r:id="rId5"/>
    <sheet name="Бордель" sheetId="37" r:id="rId6"/>
    <sheet name="Путаны" sheetId="47" r:id="rId7"/>
    <sheet name="Замок" sheetId="5" r:id="rId8"/>
    <sheet name="Принцесса" sheetId="32" r:id="rId9"/>
    <sheet name="&quot;Дама в беде&quot;" sheetId="38" r:id="rId10"/>
    <sheet name="Знатные дома" sheetId="6" r:id="rId11"/>
    <sheet name="Горожане" sheetId="8" r:id="rId12"/>
    <sheet name="Слухи и Репутация" sheetId="9" r:id="rId13"/>
    <sheet name="Храмы" sheetId="10" r:id="rId14"/>
    <sheet name="Религия" sheetId="39" r:id="rId15"/>
    <sheet name="Святое испытание" sheetId="41" r:id="rId16"/>
    <sheet name="Культ" sheetId="43" r:id="rId17"/>
    <sheet name="Бандиты" sheetId="11" r:id="rId18"/>
    <sheet name="Городские банды" sheetId="12" r:id="rId19"/>
    <sheet name="Подземелье" sheetId="68" r:id="rId20"/>
    <sheet name="Подз_Убранство" sheetId="69" r:id="rId21"/>
    <sheet name="События, описания" sheetId="13" r:id="rId22"/>
    <sheet name="Стража" sheetId="14" r:id="rId23"/>
    <sheet name="Пещера" sheetId="71" r:id="rId24"/>
    <sheet name="Подз_Воздуха" sheetId="72" r:id="rId25"/>
    <sheet name="Подз_Земли" sheetId="73" r:id="rId26"/>
    <sheet name="Подз_Огня" sheetId="74" r:id="rId27"/>
    <sheet name="Подз_Воды" sheetId="75" r:id="rId28"/>
    <sheet name="Подз_Feydark" sheetId="76" r:id="rId29"/>
    <sheet name="Подз_Feywild" sheetId="77" r:id="rId30"/>
    <sheet name="Подз_Icy" sheetId="78" r:id="rId31"/>
    <sheet name="Подз_Inferno" sheetId="79" r:id="rId32"/>
    <sheet name="Подз_Shadowfell" sheetId="84" r:id="rId33"/>
    <sheet name="Подз_Вулкан" sheetId="86" r:id="rId34"/>
    <sheet name="Башня Мага" sheetId="80" r:id="rId35"/>
    <sheet name="Шахты" sheetId="81" r:id="rId36"/>
    <sheet name="Монастырь" sheetId="82" r:id="rId37"/>
    <sheet name="Храм" sheetId="85" r:id="rId38"/>
    <sheet name="Замковые подземелья" sheetId="7" r:id="rId39"/>
    <sheet name="Тюрьма" sheetId="15" r:id="rId40"/>
    <sheet name="Канализация" sheetId="83" r:id="rId41"/>
    <sheet name="Торговая точка" sheetId="17" r:id="rId42"/>
    <sheet name="Магазин" sheetId="50" r:id="rId43"/>
    <sheet name="Тайное общество" sheetId="48" r:id="rId44"/>
    <sheet name="Гильдия убийц" sheetId="16" r:id="rId45"/>
    <sheet name="Воры" sheetId="52" r:id="rId46"/>
    <sheet name="Добыча карм.кражи" sheetId="56" r:id="rId47"/>
    <sheet name="Рабочая Гильдия" sheetId="18" r:id="rId48"/>
    <sheet name="Торговая Гильдия" sheetId="19" r:id="rId49"/>
    <sheet name="Торговый Караван" sheetId="20" r:id="rId50"/>
    <sheet name="Монеты" sheetId="21" r:id="rId51"/>
    <sheet name="Актерская_Труппа" sheetId="87" r:id="rId52"/>
    <sheet name="Песня" sheetId="25" r:id="rId53"/>
    <sheet name="Военный лагерь" sheetId="26" r:id="rId54"/>
    <sheet name="Военная компания" sheetId="30" r:id="rId55"/>
    <sheet name="Наемники" sheetId="33" r:id="rId56"/>
    <sheet name="Наемные мечи" sheetId="35" r:id="rId57"/>
    <sheet name="Личный наемник" sheetId="34" r:id="rId58"/>
    <sheet name="Рыцари" sheetId="31" r:id="rId59"/>
    <sheet name="Круги_Друидов" sheetId="88" r:id="rId60"/>
    <sheet name="Дикая Орда" sheetId="27" r:id="rId61"/>
    <sheet name="Корабли" sheetId="53" r:id="rId62"/>
    <sheet name="Моряки" sheetId="54" r:id="rId63"/>
    <sheet name="Команда пиратов" sheetId="49" r:id="rId64"/>
    <sheet name="Слухи о ..." sheetId="29" r:id="rId65"/>
    <sheet name="Книги" sheetId="24" r:id="rId66"/>
    <sheet name="Волшебный магазин" sheetId="64" r:id="rId67"/>
    <sheet name="Ловушки" sheetId="61" r:id="rId68"/>
    <sheet name="Гробница" sheetId="59" r:id="rId69"/>
    <sheet name="Расхитители гробниц" sheetId="60" r:id="rId70"/>
    <sheet name="Охотники за сокровищами" sheetId="58" r:id="rId71"/>
    <sheet name="Карта сокровищ" sheetId="51" r:id="rId72"/>
    <sheet name="Сундук сокровищ" sheetId="57" r:id="rId7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15" i="2" l="1"/>
  <c r="V35" i="2"/>
  <c r="V34" i="2"/>
  <c r="V27" i="2"/>
  <c r="V28" i="2"/>
  <c r="V29" i="2"/>
  <c r="V23" i="2"/>
  <c r="V25" i="2"/>
  <c r="V24" i="2"/>
  <c r="V21" i="2"/>
  <c r="V20" i="2"/>
  <c r="V22" i="2"/>
  <c r="U21" i="2"/>
  <c r="U22" i="2"/>
  <c r="U23" i="2"/>
  <c r="V19" i="2"/>
  <c r="U19" i="2"/>
  <c r="V2" i="2"/>
  <c r="V1" i="2" s="1"/>
  <c r="L36" i="3" l="1"/>
  <c r="N36" i="3" s="1"/>
  <c r="L37" i="3"/>
  <c r="N37" i="3" s="1"/>
  <c r="F38" i="3"/>
  <c r="B38" i="3" s="1"/>
  <c r="L38" i="3"/>
  <c r="N38" i="3" s="1"/>
  <c r="F39" i="3"/>
  <c r="B39" i="3" s="1"/>
  <c r="F40" i="3"/>
  <c r="B40" i="3" s="1"/>
  <c r="F41" i="3"/>
  <c r="B41" i="3" s="1"/>
  <c r="F46" i="3"/>
  <c r="B46" i="3" s="1"/>
  <c r="L23" i="3"/>
  <c r="N23" i="3" s="1"/>
</calcChain>
</file>

<file path=xl/sharedStrings.xml><?xml version="1.0" encoding="utf-8"?>
<sst xmlns="http://schemas.openxmlformats.org/spreadsheetml/2006/main" count="9957" uniqueCount="8824">
  <si>
    <t>ОТНОШЕНИЯ МЕЖДУ РАСАМИ</t>
  </si>
  <si>
    <t>СТАТУС ПРАВИТЕЛЯ</t>
  </si>
  <si>
    <t>ДОСТОПРИМЕЧАТЕЛЬНОСТИ</t>
  </si>
  <si>
    <t>СЛАВИТСЯ...</t>
  </si>
  <si>
    <t>ТЕКУЩЕЕ НЕСЧАСТЬЕ</t>
  </si>
  <si>
    <t>ТИП ЗДАНИЯ</t>
  </si>
  <si>
    <t>ЖИЛИЩЕ</t>
  </si>
  <si>
    <t>РЕЛИГИОЗНОЕ ЗДАНИЕ</t>
  </si>
  <si>
    <t>ТАВЕРНА</t>
  </si>
  <si>
    <t>СКЛАД</t>
  </si>
  <si>
    <t>МАГАЗИН</t>
  </si>
  <si>
    <t>ДЕРЕВНЯ</t>
  </si>
  <si>
    <t>Население: До 1000</t>
  </si>
  <si>
    <t>Правительство: Титулованная персона (как правило, не проживающая в поселении) правит деревней, с назначенным агентом (надсмотрщиком, проживающим в деревне) для разрешения споров и сбора налогов.</t>
  </si>
  <si>
    <t>Оборона: При надсмотрщике может быть небольшой отряд солдат. В противном случае деревня полагается на гражданское ополчение.</t>
  </si>
  <si>
    <t>Торговля: Основные товары доступны в гостиницах и торговых постах. Другие товары поступают от странствующих торговцев.</t>
  </si>
  <si>
    <t>Организации: Деревня может содержать один или два храма или святыни, но других организаций мало или нет совсем.</t>
  </si>
  <si>
    <t>МАЛЕНЬКИЙ ГОРОДОК (ПОСЁЛОК)</t>
  </si>
  <si>
    <t>Население: До 6000</t>
  </si>
  <si>
    <t>Правительство: Местная знать управляет городом и назначает бургомистра, чтобы надзирать за администрацией. Избранный городской совет представляет интересы среднего класса.</t>
  </si>
  <si>
    <t>Оборона: Знать командует армией профессиональных солдат, а также личными телохранителями.</t>
  </si>
  <si>
    <t>Торговля: Основные товары легкодоступны, а экзотические товары и услуги найти труднее. Путников обслуживают постоялые дворы и таверны.</t>
  </si>
  <si>
    <t>Организации: Город содержит несколько храмов, а также различные торговые гильдии и другие организации.</t>
  </si>
  <si>
    <t>БОЛЬШОЙ ГОРОД (МЕГАПОЛИС)</t>
  </si>
  <si>
    <t>Население: До 25000</t>
  </si>
  <si>
    <t>Правительство: Местная знать управляет городом, разделяя с несколькими другими дворянами ответственность за окружающие районы и выполнение государственных функций. Одним из управляющих является бургомистр, курирующий городскую администрацию. Избранный городской совет представляет интересы среднего класса и, возможно, обладает большей властью, чем бургомистр. Другие объединения также являются важными центрами власти.</t>
  </si>
  <si>
    <t>Оборона: Город поддерживает армию профессиональных солдат, охрану, и городскую стражу.</t>
  </si>
  <si>
    <t>Каждый дворянин в резиденции имеет небольшой отряд личных телохранителей.</t>
  </si>
  <si>
    <t>Торговля: Практически любые товары или услуги легкодоступны. Путников обслуживают многочисленные гостиницы и таверны.</t>
  </si>
  <si>
    <t>Организации: Множество храмов, гильдий и других организаций, некоторые из которых имеют значительное влияние в городе.</t>
  </si>
  <si>
    <t>к20</t>
  </si>
  <si>
    <t>Первая часть</t>
  </si>
  <si>
    <t>Вторая часть</t>
  </si>
  <si>
    <t>Угорь</t>
  </si>
  <si>
    <t>Дельфин</t>
  </si>
  <si>
    <t>Дварф</t>
  </si>
  <si>
    <t>Пегас</t>
  </si>
  <si>
    <t>Пони</t>
  </si>
  <si>
    <t>Цветок</t>
  </si>
  <si>
    <t>Жеребец</t>
  </si>
  <si>
    <t>Волк</t>
  </si>
  <si>
    <t>Ягнёнок</t>
  </si>
  <si>
    <t>Демон</t>
  </si>
  <si>
    <t>Козёл</t>
  </si>
  <si>
    <t>Дух</t>
  </si>
  <si>
    <t>Рой</t>
  </si>
  <si>
    <t>Шут</t>
  </si>
  <si>
    <t>Холм</t>
  </si>
  <si>
    <t>Орёл</t>
  </si>
  <si>
    <t>Сатир</t>
  </si>
  <si>
    <t>Пёс</t>
  </si>
  <si>
    <t>Паук</t>
  </si>
  <si>
    <t>Идол</t>
  </si>
  <si>
    <t>Серебряный</t>
  </si>
  <si>
    <t>Золотой</t>
  </si>
  <si>
    <t>Шатающийся</t>
  </si>
  <si>
    <t>Смеющийся</t>
  </si>
  <si>
    <t>Гарцующий</t>
  </si>
  <si>
    <t>Позолоченный</t>
  </si>
  <si>
    <t>Бегущий</t>
  </si>
  <si>
    <t>Воющий</t>
  </si>
  <si>
    <t>Зарезанный</t>
  </si>
  <si>
    <t>Хитрый</t>
  </si>
  <si>
    <t>Сверкающий</t>
  </si>
  <si>
    <t>Пьяный</t>
  </si>
  <si>
    <t>Прыгающий</t>
  </si>
  <si>
    <t>Ревущий</t>
  </si>
  <si>
    <t>Хмурый</t>
  </si>
  <si>
    <t>Одинокий</t>
  </si>
  <si>
    <t>Странствующий</t>
  </si>
  <si>
    <t>Таинственный</t>
  </si>
  <si>
    <t>Лающий</t>
  </si>
  <si>
    <t>Чёрный</t>
  </si>
  <si>
    <t>1–5</t>
  </si>
  <si>
    <t>14–15</t>
  </si>
  <si>
    <t>16–17</t>
  </si>
  <si>
    <t>19–20</t>
  </si>
  <si>
    <t>Бордель</t>
  </si>
  <si>
    <t>Клуб, доступный только для членов</t>
  </si>
  <si>
    <t>Тихий, неброский бар</t>
  </si>
  <si>
    <t>Шумный притон</t>
  </si>
  <si>
    <t>Пристанище гильдии воров</t>
  </si>
  <si>
    <t>Random City: Minimal Urban Planning</t>
  </si>
  <si>
    <t>d10 Geography: The city grew up around...</t>
  </si>
  <si>
    <t>d20 Resources: The city is near a region ideal for mining, growing, or grazing...</t>
  </si>
  <si>
    <t>RANDOM CASTLES: TO THE KEEP!...</t>
  </si>
  <si>
    <t>d10 The castle sits...</t>
  </si>
  <si>
    <t>1. Atop a mountain.</t>
  </si>
  <si>
    <t>2. On a hill overlooking a wide plain.</t>
  </si>
  <si>
    <t>3. At the fork of a river.</t>
  </si>
  <si>
    <t>4. On a narrow, rocky peninsula.</t>
  </si>
  <si>
    <t>5. Above a seaside cliff.</t>
  </si>
  <si>
    <t>6. On a hill overlooking a river valley.</t>
  </si>
  <si>
    <t>7. On a hill rising out of a swamp.</t>
  </si>
  <si>
    <t>8. On a hill overlooking a forest.</t>
  </si>
  <si>
    <t>9. Astride a desert oasis or natural spring.</t>
  </si>
  <si>
    <t>10. On a ridge overlooking a frozen plain.</t>
  </si>
  <si>
    <t>d12 The castle was built by...</t>
  </si>
  <si>
    <t>1. A wise king or queen.</t>
  </si>
  <si>
    <t>2. An ambitious lord or lady.</t>
  </si>
  <si>
    <t>3. An evil tyrant.</t>
  </si>
  <si>
    <t>4. A mighty warrior or warlord.</t>
  </si>
  <si>
    <t>5. A retired adventurer.</t>
  </si>
  <si>
    <t>6. A celebrated war hero.</t>
  </si>
  <si>
    <t>7. An unscrupulous king or queen.</t>
  </si>
  <si>
    <t>8. A vain lord or lady.</t>
  </si>
  <si>
    <t>9. A powerful witch or wizard.</t>
  </si>
  <si>
    <t>10. A beloved sovereign.</t>
  </si>
  <si>
    <t>11. A prosperous merchant.</t>
  </si>
  <si>
    <t>12. A member of an ancient noble house.</t>
  </si>
  <si>
    <t>d4 The castle was built...</t>
  </si>
  <si>
    <t>1. In a past age.</t>
  </si>
  <si>
    <t>2. Hundreds of years ago.</t>
  </si>
  <si>
    <t>3. A few decades ago.</t>
  </si>
  <si>
    <t>4. Within the past decade.</t>
  </si>
  <si>
    <t>d6 Currently, the castle’s condition is...</t>
  </si>
  <si>
    <t>1. Perfect; upkeep has been fastidious.</t>
  </si>
  <si>
    <t>2. Good; it been well-maintained.</t>
  </si>
  <si>
    <t>4. Fair; the castle has seen better days.</t>
  </si>
  <si>
    <t>6. Decrepit; the place is practically a ruin.</t>
  </si>
  <si>
    <t>d12 Presently, the castle is occupied by...</t>
  </si>
  <si>
    <t>1. A member of the royal family.</t>
  </si>
  <si>
    <t>4. An elderly lord or lady.</t>
  </si>
  <si>
    <t>5. A brash, young lord or lady.</t>
  </si>
  <si>
    <t>6. A mercenary company.</t>
  </si>
  <si>
    <t>7. A fearsome warlord or retired sellsword.</t>
  </si>
  <si>
    <t>8. A wealthy merchant.</t>
  </si>
  <si>
    <t>9. A retired pirate or thief.</t>
  </si>
  <si>
    <t>10. A former adventurer.</t>
  </si>
  <si>
    <t>11. An absentee noble lord.</t>
  </si>
  <si>
    <t>1. Grains grow well on the surrounding land.</t>
  </si>
  <si>
    <t>2. The nearby mines are rich in ores or gems.</t>
  </si>
  <si>
    <t>4. Fruit trees grow on the surrounding land.</t>
  </si>
  <si>
    <t>6. The nearby harbor is important for trade.</t>
  </si>
  <si>
    <t>7. The nearby river is important for trade.</t>
  </si>
  <si>
    <t>9. The wild lands beyond are full of threats.</t>
  </si>
  <si>
    <t>11. The surrounding land is held sacred.</t>
  </si>
  <si>
    <t>d10 The castle’s outer defenses include...</t>
  </si>
  <si>
    <t>1. Very high stone walls.</t>
  </si>
  <si>
    <t>2. Incredibly thick stone walls.</t>
  </si>
  <si>
    <t>3. A series of curtain walls and gatehouses.</t>
  </si>
  <si>
    <t>5. A moat filled with putrescent water.</t>
  </si>
  <si>
    <t>6. A moat filled with thick, boot-sucking mud.</t>
  </si>
  <si>
    <t>7. A moat filled with sharp spikes.</t>
  </si>
  <si>
    <t>9. An immense barbican.</t>
  </si>
  <si>
    <t>10. A narrow footbridge to reach the postern.</t>
  </si>
  <si>
    <t>d6 The inner keep’s defenses include...</t>
  </si>
  <si>
    <t>1. Hundreds of arrow slits.</t>
  </si>
  <si>
    <t>3. A winding climb to reach the entrance.</t>
  </si>
  <si>
    <t>6. An unusual or hidden means of entry.</t>
  </si>
  <si>
    <t>1. 5 soldiers and 20 archers.</t>
  </si>
  <si>
    <t>2. 20 soldiers, 5 knights, and 20 archers.</t>
  </si>
  <si>
    <t>3. 50 soldiers, 10 knights, and 40 archers.</t>
  </si>
  <si>
    <t>4. 20 knights, 20 archers, and 5 warmages.</t>
  </si>
  <si>
    <t>5. 100 soldiers, 50 archers, and 5 warmages.</t>
  </si>
  <si>
    <t>6. 100 soldiers, 20 knights, and 50 archers.</t>
  </si>
  <si>
    <t>7. 200 soldiers, 50 knights, and 100 archers.</t>
  </si>
  <si>
    <t>8. 200 soldiers, 100 knights, and 200 archers.</t>
  </si>
  <si>
    <t>1. 50 people.</t>
  </si>
  <si>
    <t>2. 100 people.</t>
  </si>
  <si>
    <t>3. 200 people.</t>
  </si>
  <si>
    <t>4. 500 people.</t>
  </si>
  <si>
    <t>5. 1,000 people.</t>
  </si>
  <si>
    <t>6. 2,000 people.</t>
  </si>
  <si>
    <t>d12 The castle is known for...</t>
  </si>
  <si>
    <t>1. Withstanding a grueling, lengthy siege.</t>
  </si>
  <si>
    <t>2. Suffering an immense conflagration.</t>
  </si>
  <si>
    <t>3. Changing hands several times over the</t>
  </si>
  <si>
    <t>course of the same war.</t>
  </si>
  <si>
    <t>4. Bringing ill-fortune to those who hold it.</t>
  </si>
  <si>
    <t>5. Being haunted by a former occupant.</t>
  </si>
  <si>
    <t>6. Never falling in a siege.</t>
  </si>
  <si>
    <t>7. Welcoming travelers seeking refuge.</t>
  </si>
  <si>
    <t>8. Turning away travelers seeking refuge.</t>
  </si>
  <si>
    <t>9. Its unusual architectural style.</t>
  </si>
  <si>
    <t>10. Its beautiful, historic tapestries.</t>
  </si>
  <si>
    <t>11. Its breathtakingly beautiful chapel.</t>
  </si>
  <si>
    <t>12. The quality of its meals.</t>
  </si>
  <si>
    <t>2. The weapon of a long-dead hero.</t>
  </si>
  <si>
    <t>3. The preserved head of an ancient villain.</t>
  </si>
  <si>
    <t>4. A long-lost religious artifact.</t>
  </si>
  <si>
    <t>5. A missing lord or lady.</t>
  </si>
  <si>
    <t>6. A book of vile curses.</t>
  </si>
  <si>
    <t>7. A book of dark and ancient secrets.</t>
  </si>
  <si>
    <t>8. A cursed treasure hoard.</t>
  </si>
  <si>
    <t>9. The last bottle of famous vintage of wine.</t>
  </si>
  <si>
    <t>10. A lost work of a celebrated artist.</t>
  </si>
  <si>
    <t>11. The crypt of an ancient sovereign.</t>
  </si>
  <si>
    <t>12. An unhatched dragon egg.</t>
  </si>
  <si>
    <t>d20 Rooms: This chamber is...?</t>
  </si>
  <si>
    <t>1. An antechamber or waiting room.</t>
  </si>
  <si>
    <t>2. An armory.</t>
  </si>
  <si>
    <t>3. An aviary, dovecote, owlery, or rookery.</t>
  </si>
  <si>
    <t>4. A banquet hall.</t>
  </si>
  <si>
    <t>5. The barracks.</t>
  </si>
  <si>
    <t>6. A bath or privy.</t>
  </si>
  <si>
    <t>7. A bedroom (d3): 1. simple; 2. comfortable;</t>
  </si>
  <si>
    <t>3. luxurious.</t>
  </si>
  <si>
    <t>8. A chapel or shrine.</t>
  </si>
  <si>
    <t>9. A crypt.</t>
  </si>
  <si>
    <t>10. An intimate or informal dining room.</t>
  </si>
  <si>
    <t>11. A dressing room.</t>
  </si>
  <si>
    <t>13. A guardroom.</t>
  </si>
  <si>
    <t>14. A kennel, menagerie, or stable.</t>
  </si>
  <si>
    <t>15. The kitchen.</t>
  </si>
  <si>
    <t>16. A library or study.</t>
  </si>
  <si>
    <t>17. A pantry.</t>
  </si>
  <si>
    <t>19. The throne room.</t>
  </si>
  <si>
    <t>d20 Features: You notice...?</t>
  </si>
  <si>
    <t>1. An armchair flanked by two sconces.</t>
  </si>
  <si>
    <t>2. A large armoire or buffet cabinet.</t>
  </si>
  <si>
    <t>3. A bench with a cusion.</t>
  </si>
  <si>
    <t>4. A brazier.</t>
  </si>
  <si>
    <t>5. A candelabrum on a large table.</t>
  </si>
  <si>
    <t>6. A plain chair beside a window.</t>
  </si>
  <si>
    <t>7. A heavy wooden chest.</t>
  </si>
  <si>
    <t>8. A chest of drawers with a blanket on top.</t>
  </si>
  <si>
    <t>9. A desk with some quills and parchment.</t>
  </si>
  <si>
    <t>10. A fireplace with a mantle.</t>
  </si>
  <si>
    <t>11. A fireplace with a small pile of wood.</t>
  </si>
  <si>
    <t>12. A fresco with a padded chair beneath it.</t>
  </si>
  <si>
    <t>13. Portrait of a noble.</t>
  </si>
  <si>
    <t>14. A painting of a landscape or seascape.</t>
  </si>
  <si>
    <t>15. A bust on a pedestal.</t>
  </si>
  <si>
    <t>16. A shelf containing books or knick knacks.</t>
  </si>
  <si>
    <t>17. A low table in front of a small sofa.</t>
  </si>
  <si>
    <t>18. A large table beneath a chandelier.</t>
  </si>
  <si>
    <t>19. An ornate tapestry.</t>
  </si>
  <si>
    <t>20. A small wall basin and font.</t>
  </si>
  <si>
    <t>ENCOUNTERS</t>
  </si>
  <si>
    <t>d10 Under siege: You come upon...?</t>
  </si>
  <si>
    <t>1. A squad of archers hustling up a stair.</t>
  </si>
  <si>
    <t>2. A patrol of guards brandishing weapons.</t>
  </si>
  <si>
    <t>3. A guard shouting instructions.</t>
  </si>
  <si>
    <t>4. A knight hurrying to the stables.</t>
  </si>
  <si>
    <t>5. A servant cowering in a hiding place.</t>
  </si>
  <si>
    <t>6. A curious child peaking out a window.</t>
  </si>
  <si>
    <t>7. A servant kneeling in prayer.</t>
  </si>
  <si>
    <t>8. A noble hastily penning a letter.</t>
  </si>
  <si>
    <t>9. A squire aiding a knight with his armor.</t>
  </si>
  <si>
    <t>10. A healer checking over his potions.</t>
  </si>
  <si>
    <t>d10 In peace: You come upon...?</t>
  </si>
  <si>
    <t>1. The huntsman cleaning a recent kill.</t>
  </si>
  <si>
    <t>2. The kennelmaster leading a leashed dog.</t>
  </si>
  <si>
    <t>3. The horsemaster instructing a young rider.</t>
  </si>
  <si>
    <t>4. The armorer scolding an apprentice.</t>
  </si>
  <si>
    <t>5. A maid fussing over her lady’s dress.</t>
  </si>
  <si>
    <t>6. The tutor or sage lost in a book.</t>
  </si>
  <si>
    <t>7. The chaplain whispering with a maid.</t>
  </si>
  <si>
    <t>8. A maid polishing an ornamental shield.</t>
  </si>
  <si>
    <t>9. A servant carrying a tray of food.</t>
  </si>
  <si>
    <t>10. Several archers practicing in the yard.</t>
  </si>
  <si>
    <t>1. Dispose of an enemy.</t>
  </si>
  <si>
    <t>2. Negotiate a trade contract.</t>
  </si>
  <si>
    <t>4. Sabotage a rival.</t>
  </si>
  <si>
    <t>6. Have a good time with.</t>
  </si>
  <si>
    <t>1. Several deeds and titles.</t>
  </si>
  <si>
    <t>2. A family heirloom.</t>
  </si>
  <si>
    <t>3. Several inventories and invoices.</t>
  </si>
  <si>
    <t>5. A compromising love letter.</t>
  </si>
  <si>
    <t>6. A letter from a powerful lord or lady.</t>
  </si>
  <si>
    <t>2. A passionate young woman.</t>
  </si>
  <si>
    <t>3. A homely young lady.</t>
  </si>
  <si>
    <t>1. A family heirloom.</t>
  </si>
  <si>
    <t>GUARD</t>
  </si>
  <si>
    <t>1. The steady pay.</t>
  </si>
  <si>
    <t>2. The chance to bully others.</t>
  </si>
  <si>
    <t>1. An unsightly scar.</t>
  </si>
  <si>
    <t>2. A haughty sneer.</t>
  </si>
  <si>
    <t>3. A look of sadness.</t>
  </si>
  <si>
    <t>4. An eager grin.</t>
  </si>
  <si>
    <t>1. A highly polished blade.</t>
  </si>
  <si>
    <t>2. A letter from a fallen comrade.</t>
  </si>
  <si>
    <t>3. A trophy from a fallen enemy.</t>
  </si>
  <si>
    <t>2. A brutish thug.</t>
  </si>
  <si>
    <t>2. A frightened link boy.</t>
  </si>
  <si>
    <t>4. A reformed criminal-turned valet.</t>
  </si>
  <si>
    <t>5. A prisoner of war.</t>
  </si>
  <si>
    <t>6. A mysterious foreigner.</t>
  </si>
  <si>
    <t>1. Earn a little silver.</t>
  </si>
  <si>
    <t>6. Have a drink and a rest.</t>
  </si>
  <si>
    <t>4. Eat, drink, and be merry.</t>
  </si>
  <si>
    <t>d4 The smith is...</t>
  </si>
  <si>
    <t>1. A meticulous armorsmith.</t>
  </si>
  <si>
    <t>4. A highly-skilled weaponsmith.</t>
  </si>
  <si>
    <t>d4 The smith is looking for...</t>
  </si>
  <si>
    <t>3. Dull blades to sharpen.</t>
  </si>
  <si>
    <t>4. A mug of strong ale.</t>
  </si>
  <si>
    <t>d4 The smith carries...</t>
  </si>
  <si>
    <t>1. A hammer.</t>
  </si>
  <si>
    <t>4. Little more than a few coins.</t>
  </si>
  <si>
    <t>1. Obtain hard-to-get provisions.</t>
  </si>
  <si>
    <t>3. Help win over a sweetheart.</t>
  </si>
  <si>
    <t>4. Share a drink and a laugh.</t>
  </si>
  <si>
    <t>1. A devoted acolyte.</t>
  </si>
  <si>
    <t>4. The bottom of a goblet.</t>
  </si>
  <si>
    <t>2. A prominently displayed holy symbol.</t>
  </si>
  <si>
    <t>3. A pocketbook of sacred texts.</t>
  </si>
  <si>
    <t>4. A wineskin.</t>
  </si>
  <si>
    <t>COOK</t>
  </si>
  <si>
    <t>d4 The cook greets you with...</t>
  </si>
  <si>
    <t>1. A goblet of warm wine.</t>
  </si>
  <si>
    <t>d4 The cook is looking for...</t>
  </si>
  <si>
    <t>3. A good joke or story.</t>
  </si>
  <si>
    <t>4. The bottom of a bottle.</t>
  </si>
  <si>
    <t>d4 The servant has...</t>
  </si>
  <si>
    <t>3. A dashing swashbuckler.</t>
  </si>
  <si>
    <t>4. A celebrated war hero.</t>
  </si>
  <si>
    <t>5. An anointed knight.</t>
  </si>
  <si>
    <t>6. A career soldier.</t>
  </si>
  <si>
    <t>1. A superbly crafted sword.</t>
  </si>
  <si>
    <t>2. A trusted blade and a map.</t>
  </si>
  <si>
    <t>3. A lucky charm (rabbit’s foot, old coin).</t>
  </si>
  <si>
    <t>4. The token of a faraway love.</t>
  </si>
  <si>
    <t>5. A pipe and pouch of tobacco.</t>
  </si>
  <si>
    <t>6. A little jar of mustache wax.</t>
  </si>
  <si>
    <t>1. An awkward gait.</t>
  </si>
  <si>
    <t>2. Incredibly large hands.</t>
  </si>
  <si>
    <t>3. Quite an odor.</t>
  </si>
  <si>
    <t>2. A skilled hunter.</t>
  </si>
  <si>
    <t>Random Noble Houses</t>
  </si>
  <si>
    <t>Use these tables for inspiration or roll them up randomly, some of the tables could be rolled more than once.</t>
  </si>
  <si>
    <t>d6 The house is...</t>
  </si>
  <si>
    <t>1. Ancient and well-respected by all houses, great and small.</t>
  </si>
  <si>
    <t>2. Ancient and greatly diminished in standing from what it once was.</t>
  </si>
  <si>
    <t>3. Old with the respect of many houses, great and small.</t>
  </si>
  <si>
    <t>4. Old and struggling to maintain respect of other houses.</t>
  </si>
  <si>
    <t>5. Old but often overshadowed by other houses.</t>
  </si>
  <si>
    <t>6. Newly raised up to the nobility.</t>
  </si>
  <si>
    <t>d20 The house's colors are...</t>
  </si>
  <si>
    <t>1. Black.</t>
  </si>
  <si>
    <t>2. Red / scarlet.</t>
  </si>
  <si>
    <t>3. Gold.</t>
  </si>
  <si>
    <t>4. Forest green.</t>
  </si>
  <si>
    <t>5. Royal blue.</t>
  </si>
  <si>
    <t>6. Violet.</t>
  </si>
  <si>
    <t>7. Silver / light grey.</t>
  </si>
  <si>
    <t>8. Bronze.</t>
  </si>
  <si>
    <t>9. Tan / khaki.</t>
  </si>
  <si>
    <t>10. Brown / beaver.</t>
  </si>
  <si>
    <t>11. Dark grey / gunmetal.</t>
  </si>
  <si>
    <t>12. White.</t>
  </si>
  <si>
    <t>13. Maroon.</t>
  </si>
  <si>
    <t>14. Sky blue.</t>
  </si>
  <si>
    <t>15. Navy blue.</t>
  </si>
  <si>
    <t>16. Dark brown / chocolate.</t>
  </si>
  <si>
    <t>17. Teal / turquoise.</t>
  </si>
  <si>
    <t>18. Yellow.</t>
  </si>
  <si>
    <t>19. Orange.</t>
  </si>
  <si>
    <t>20. Olive green.</t>
  </si>
  <si>
    <t>d8 The house's symbol is...</t>
  </si>
  <si>
    <t>1. A weapon (d8): 1. arrow; 2. axe; 3. dagger; 4. hammer; 5. mace; 6. spear; 7. staff; 8. sword.</t>
  </si>
  <si>
    <t>2. A piece of armor (d4): 1. breastplate; 2. gauntlet; 3. helm; 4. shield.</t>
  </si>
  <si>
    <t>3. A celestial body (d4): 1. sun; 2. moon; 3. star; 4. comet.</t>
  </si>
  <si>
    <t>4. A plant or part of a plant (d12): 1. apple; 2. barley; 3. briar; 4. fig; 5. grapes; 6. lily; 7. maple; 8. oak; 9. olive; 10. pine; 11. rose; 12. wheat.</t>
  </si>
  <si>
    <t>5. An aquatic beast (d6): 1. crab; 2. crocodile; 3. frog; 4. fish; 5. octopus; 6. whale.</t>
  </si>
  <si>
    <t>6. A small beast (d12): 1. badger; 2. bat; 3. beaver; 4. dog; 5. ferret; 6. fox; 7. hedgehog; 8. lizard; 9. rat; 10. scorpion; 11. snake; 12. spider.</t>
  </si>
  <si>
    <t>7. A great beast (d8): 1. bear; 2. boar; 3. bull; 4. dragon; 5. lion; 6. ox; 7. stag; 8. wolf.</t>
  </si>
  <si>
    <t>8. A bird (d12): 1. cardinal; 2. dove; 3. eagle; 4. hawk; 5. mockingbird; 6. owl; 7. pelican; 8. raven; 9. rooster; 10. sparrow; 11. swan; 12. vulture.</t>
  </si>
  <si>
    <t>d20 The house's motto champions the ideals of...</t>
  </si>
  <si>
    <t>1. Compassion.</t>
  </si>
  <si>
    <t>2. Courage.</t>
  </si>
  <si>
    <t>3. Courtesy.</t>
  </si>
  <si>
    <t>4. Determination.</t>
  </si>
  <si>
    <t>5. Discipline.</t>
  </si>
  <si>
    <t>6. Duty.</t>
  </si>
  <si>
    <t>7. Excellence.</t>
  </si>
  <si>
    <t>8. Faith.</t>
  </si>
  <si>
    <t>9. Generosity.</t>
  </si>
  <si>
    <t>10. Honor.</t>
  </si>
  <si>
    <t>11. Hope.</t>
  </si>
  <si>
    <t>12. Integrity.</t>
  </si>
  <si>
    <t>13. Justice.</t>
  </si>
  <si>
    <t>14. Loyalty.</t>
  </si>
  <si>
    <t>15. Mercy.</t>
  </si>
  <si>
    <t>16. Patience.</t>
  </si>
  <si>
    <t>17. Righteousness.</t>
  </si>
  <si>
    <t>18. Strength.</t>
  </si>
  <si>
    <t>19. Trust.</t>
  </si>
  <si>
    <t>20. Wisdom.</t>
  </si>
  <si>
    <t>d12 The best known member of the house is or was...</t>
  </si>
  <si>
    <t>1. A gallant knight.</t>
  </si>
  <si>
    <t>2. A beautiful woman.</t>
  </si>
  <si>
    <t>3. A ruthless negotiator.</t>
  </si>
  <si>
    <t>4. An adept diplomat.</t>
  </si>
  <si>
    <t>5. A famous traveler or explorer.</t>
  </si>
  <si>
    <t>6. A brilliant military strategist.</t>
  </si>
  <si>
    <t>7. A notorious rebel or outlaw.</t>
  </si>
  <si>
    <t>8. A dashing swashbuckler.</t>
  </si>
  <si>
    <t>9. A fearsome warrior.</t>
  </si>
  <si>
    <t>10. A brilliant scholar.</t>
  </si>
  <si>
    <t>11. A gifted orator.</t>
  </si>
  <si>
    <t>12. A dangerous and mad ruler.</t>
  </si>
  <si>
    <t>d10 The current head of the house is...</t>
  </si>
  <si>
    <t>1. A kindly old man or woman.</t>
  </si>
  <si>
    <t>2. A ruthless old man or woman.</t>
  </si>
  <si>
    <t>3. A wily old man or woman.</t>
  </si>
  <si>
    <t>4. A charming man or woman.</t>
  </si>
  <si>
    <t>5. A grim veteran of wars.</t>
  </si>
  <si>
    <t>6. An astute politician.</t>
  </si>
  <si>
    <t>7. A devout adherent of a religion.</t>
  </si>
  <si>
    <t>8. A heartbroken widower or widow.</t>
  </si>
  <si>
    <t>9. A reckless or hot-headed young man or woman.</t>
  </si>
  <si>
    <t>10. A child.</t>
  </si>
  <si>
    <t>d8 The house's goals include (individual members may have different goals)...</t>
  </si>
  <si>
    <t>1. Domination of the city or region's politics.</t>
  </si>
  <si>
    <t>2. Domination of the city or region's trade.</t>
  </si>
  <si>
    <t>3. Revenge against a rival house in the same city or region.</t>
  </si>
  <si>
    <t>4. Revenge against a rival house in another city or region.</t>
  </si>
  <si>
    <t>5. Sabotage of a group run by commoners—a guild, academy, religious faith, or secret society.</t>
  </si>
  <si>
    <t>6. Fomenting rebellion against the city or region's ruling house.</t>
  </si>
  <si>
    <t>7. Marriage with a powerful allied house.</t>
  </si>
  <si>
    <t>8. Marriage with a powerful rival house.</t>
  </si>
  <si>
    <t>d8 One or more house members keep secret (the secret may involve past or present events)...</t>
  </si>
  <si>
    <t>1. A long-time scandalous romance.</t>
  </si>
  <si>
    <t>2. The existence of a bastard child.</t>
  </si>
  <si>
    <t>3. A murder in one of the house's keeps, castles, or palaces.</t>
  </si>
  <si>
    <t>4. Religious zealotry.</t>
  </si>
  <si>
    <t>5. The birth of a malformed freak.</t>
  </si>
  <si>
    <t>6. Treason against the region's sovereign.</t>
  </si>
  <si>
    <t>7. The senility or madness of family members.</t>
  </si>
  <si>
    <t>8. Criminal sabotage of a rival house.</t>
  </si>
  <si>
    <t>d10 The house's seat of power is located in or near...</t>
  </si>
  <si>
    <t>1. A port city.</t>
  </si>
  <si>
    <t>2. A range of high mountains.</t>
  </si>
  <si>
    <t>3. A wide, fertile plain.</t>
  </si>
  <si>
    <t>4. A fertile river valley.</t>
  </si>
  <si>
    <t>5. An ancient forest.</t>
  </si>
  <si>
    <t>6. A jagged coastline.</t>
  </si>
  <si>
    <t>7. A sodden swamp.</t>
  </si>
  <si>
    <t>8. A pristine lake.</t>
  </si>
  <si>
    <t>9. A desert plateau.</t>
  </si>
  <si>
    <t>10. An idyllic hill country.</t>
  </si>
  <si>
    <t>RANDOM CASTLE DUNGEONS: IN THE DARKEST PITS...</t>
  </si>
  <si>
    <t>d6 The dungeon is located...</t>
  </si>
  <si>
    <t>1. In a tower set apart from the main castle.</t>
  </si>
  <si>
    <t>2. Beneath the keep.</t>
  </si>
  <si>
    <t>3. In a flanking tower of the castle.</t>
  </si>
  <si>
    <t>4. Beneath flanking tower in the castle.</t>
  </si>
  <si>
    <t>5. In a corner tower of the castle.</t>
  </si>
  <si>
    <t>6. Beneath the corner tower.</t>
  </si>
  <si>
    <t>d4 The dungeon was built...</t>
  </si>
  <si>
    <t>1. As part of the original castle.</t>
  </si>
  <si>
    <t>2. As a later addition.</t>
  </si>
  <si>
    <t>3. For another purpose originally.</t>
  </si>
  <si>
    <t>4. Long before most of the castle.</t>
  </si>
  <si>
    <t>d8 The dungeon is...</t>
  </si>
  <si>
    <t>1. A sprawling maze of twisting passages.</t>
  </si>
  <si>
    <t>2. A sprawling maze of narrow passages.</t>
  </si>
  <si>
    <t>3. Organized into small, neat rows of cells or</t>
  </si>
  <si>
    <t>pits.</t>
  </si>
  <si>
    <t>4. Organized around a large central cell block</t>
  </si>
  <si>
    <t>or pit.</t>
  </si>
  <si>
    <t>5. Only a few rooms.</t>
  </si>
  <si>
    <t>6. An endless series of long corridors.</t>
  </si>
  <si>
    <t>7. An endless series of small rooms and</t>
  </si>
  <si>
    <t>staircases.</t>
  </si>
  <si>
    <t>8. A series of corridors with very low ceilings.</t>
  </si>
  <si>
    <t>d10 Prisoners are held within...</t>
  </si>
  <si>
    <t>1. Individual cells, in complete isolation.</t>
  </si>
  <si>
    <t>2. Individual cells, but they can see and hear</t>
  </si>
  <si>
    <t>other prisoners.</t>
  </si>
  <si>
    <t>3. Individual cells, but they can hear other</t>
  </si>
  <si>
    <t>prisoners.</t>
  </si>
  <si>
    <t>4. Cells that accommodate up to two</t>
  </si>
  <si>
    <t>5. Cells that accommodate up to two</t>
  </si>
  <si>
    <t>prisoners, each shackled to the wall.</t>
  </si>
  <si>
    <t>6. Cells that accommodate up to four</t>
  </si>
  <si>
    <t>7. Cells that accommodate up to four</t>
  </si>
  <si>
    <t>8. A large chamber with many other prisoners,</t>
  </si>
  <si>
    <t>each shackled to the wall.</t>
  </si>
  <si>
    <t>9. Individual pits or wells, open at the top.</t>
  </si>
  <si>
    <t>10. One or more huge pit with many other</t>
  </si>
  <si>
    <t>d4 The cells’ (or pits’) condition is...</t>
  </si>
  <si>
    <t>1. Well-maintained; the walls are solid.</t>
  </si>
  <si>
    <t>2. Aging, but sturdy; the walls have some</t>
  </si>
  <si>
    <t>cracks.</t>
  </si>
  <si>
    <t>3. Decrepit; the walls are crumbling.</t>
  </si>
  <si>
    <t>4. So dark it’s difficult to say.</t>
  </si>
  <si>
    <t>d4 Prisoners are treated...</t>
  </si>
  <si>
    <t>1. Humanely; they receive reasonable meals,</t>
  </si>
  <si>
    <t>some exercise, and healing when needed.</t>
  </si>
  <si>
    <t>2. Like dogs; they receive poor quality meals</t>
  </si>
  <si>
    <t>and enough healing to keep them alive.</t>
  </si>
  <si>
    <t>3. Like rats; they receive terrible meals and are</t>
  </si>
  <si>
    <t>plagued by sickness.</t>
  </si>
  <si>
    <t>4. Like they don’t exist; occasionally they</t>
  </si>
  <si>
    <t>receive food.</t>
  </si>
  <si>
    <t>d10 The dungeon is known for...</t>
  </si>
  <si>
    <t>1. Many prisoners dying in a terrible plague.</t>
  </si>
  <si>
    <t>2. A mass escape in the past.</t>
  </si>
  <si>
    <t>3. The escape of a famous criminal.</t>
  </si>
  <si>
    <t>4. Being the final home of a famous criminal.</t>
  </si>
  <si>
    <t>5. Being the final home of a legendary hero.</t>
  </si>
  <si>
    <t>6. Being haunted by vengeful ghosts.</t>
  </si>
  <si>
    <t>7. Its horrific torture pits.</t>
  </si>
  <si>
    <t>8. Never suffering a successful escape.</t>
  </si>
  <si>
    <t>9. Its quirky jailer.</t>
  </si>
  <si>
    <t>10. The quality of its meals.</t>
  </si>
  <si>
    <t>d8 According to rumor, within the castle’s</t>
  </si>
  <si>
    <t>dungeon lies...</t>
  </si>
  <si>
    <t>1. A secret tunnel to the outside.</t>
  </si>
  <si>
    <t>2. The bones of a long-lost hero.</t>
  </si>
  <si>
    <t>4. A terrible beast to which prisoners are fed.</t>
  </si>
  <si>
    <t>6. A famous jewel by a notorious prisoner.</t>
  </si>
  <si>
    <t>7. A unique and terrible torture device.</t>
  </si>
  <si>
    <t>8. The bones of a deposed king or queen.</t>
  </si>
  <si>
    <t>d10 Rooms: This chamber is...</t>
  </si>
  <si>
    <t>1. A dungeon cell.</t>
  </si>
  <si>
    <t>2. Another dungeon cell.</t>
  </si>
  <si>
    <t>3. A passageway connecting cell blocks.</t>
  </si>
  <si>
    <t>4. A guardroom.</t>
  </si>
  <si>
    <t>6. The jailer’s quarters.</t>
  </si>
  <si>
    <t>7. A yard or large indoor space for exercise.</t>
  </si>
  <si>
    <t>8. A small dining room.</t>
  </si>
  <si>
    <t>9. An interrogation room.</t>
  </si>
  <si>
    <t>10. A torture chamber.</t>
  </si>
  <si>
    <t>d20 Features: You notice...</t>
  </si>
  <si>
    <t>1. A wooden door reinforced with steel bands.</t>
  </si>
  <si>
    <t>2. Steel bars where you expected a stone wall.</t>
  </si>
  <si>
    <t>3. Empty manacles along the wall.</t>
  </si>
  <si>
    <t>4. An empty sconce to hold a torch.</t>
  </si>
  <si>
    <t>5. Distant torchlight.</t>
  </si>
  <si>
    <t>6. The floor is uneven.</t>
  </si>
  <si>
    <t>7. A crack in the stone floor.</t>
  </si>
  <si>
    <t>8. A mouse skittering underfoot.</t>
  </si>
  <si>
    <t>9. The stench of rotting flesh.</t>
  </si>
  <si>
    <t>10. The scent of stale urine.</t>
  </si>
  <si>
    <t>11. A putrid smell.</t>
  </si>
  <si>
    <t>12. A dank and moldy odor.</t>
  </si>
  <si>
    <t>13. An uncomfortable groaning.</t>
  </si>
  <si>
    <t>14. A faint scratching sound.</t>
  </si>
  <si>
    <t>15. An odd tapping sound.</t>
  </si>
  <si>
    <t>16. The squeaking of rats.</t>
  </si>
  <si>
    <t>17. The shouting of distant voices.</t>
  </si>
  <si>
    <t>18. Howls of agony.</t>
  </si>
  <si>
    <t>19. Horrific screams.</t>
  </si>
  <si>
    <t>20. The clanking of chains.</t>
  </si>
  <si>
    <t>d12 Escape Encounters: You come upon...</t>
  </si>
  <si>
    <t>1. A snoozing guard or jailer.</t>
  </si>
  <si>
    <t>2. A pair of guards on patrol.</t>
  </si>
  <si>
    <t>3. A quartet of guards playing cards or dice on</t>
  </si>
  <si>
    <t>their break.</t>
  </si>
  <si>
    <t>4. A pack of trained hunting dogs commanded</t>
  </si>
  <si>
    <t>by a high-ranking guard who has been</t>
  </si>
  <si>
    <t>alerted of the escape attempt.</t>
  </si>
  <si>
    <t>5. An inquisitor on-site to interrogate another</t>
  </si>
  <si>
    <t>prisoner about an unrelated case.</t>
  </si>
  <si>
    <t>6. An ear-splitting shriek from a maidservant.</t>
  </si>
  <si>
    <t>7. A wide, well-lit yard that must be crossed</t>
  </si>
  <si>
    <t>with guards watching it from towers.</t>
  </si>
  <si>
    <t>8. A high wall directly in the path of escape.</t>
  </si>
  <si>
    <t>9. A barred window in the path of escape.</t>
  </si>
  <si>
    <t>10. The rat-infested kitchens.</t>
  </si>
  <si>
    <t>11. An imprisoned nobleman who offers to help</t>
  </si>
  <si>
    <t>if you help him escape.</t>
  </si>
  <si>
    <t>12. An imprisoned thief who is bent on revenge.</t>
  </si>
  <si>
    <t>d6 Even if you make it out of the dungeon,</t>
  </si>
  <si>
    <t>you’ll never escape because...</t>
  </si>
  <si>
    <t>1. The castle’s huntsman will ride you down.</t>
  </si>
  <si>
    <t>2. The castle’s hunting hounds are peerless.</t>
  </si>
  <si>
    <t>3. The castle’s ghosts will shriek in alarm.</t>
  </si>
  <si>
    <t>4. The knights sworn to the castle’s liege will</t>
  </si>
  <si>
    <t>not rest until they return you to him or her.</t>
  </si>
  <si>
    <t>5. The castle’s archers will fill you with arrows.</t>
  </si>
  <si>
    <t>6. You’ve been branded a prisoner of this</t>
  </si>
  <si>
    <t>place; no one will risk helping you.</t>
  </si>
  <si>
    <t>JAILER</t>
  </si>
  <si>
    <t>d6 The jailer is...</t>
  </si>
  <si>
    <t>1. A coward who likes to act tough.</t>
  </si>
  <si>
    <t>2. A bully in every sense of the word.</t>
  </si>
  <si>
    <t>3. A man who grew up among criminals.</t>
  </si>
  <si>
    <t>4. A sadistic thug.</t>
  </si>
  <si>
    <t>5. A mild-mannered man of faith.</t>
  </si>
  <si>
    <t>6. A resentful cripple.</t>
  </si>
  <si>
    <t>d4 The jailer is concerned about...</t>
  </si>
  <si>
    <t>1. Rumors of an upcoming escape attempt.</t>
  </si>
  <si>
    <t>2. Losing his job after a messy prisoner death.</t>
  </si>
  <si>
    <t>3. Facing a prisoner who creeps him out.</t>
  </si>
  <si>
    <t>4. Ways to make a little extra silver.</t>
  </si>
  <si>
    <t>d4 The jailer is looking to...</t>
  </si>
  <si>
    <t>1. Abuse someone who is defenseless.</t>
  </si>
  <si>
    <t>2. Make himself feel powerful.</t>
  </si>
  <si>
    <t>3. Reach out to a disturbed prisoner.</t>
  </si>
  <si>
    <t>4. Swap grisly tales.</t>
  </si>
  <si>
    <t>d8 The jailer carries...</t>
  </si>
  <si>
    <t>1. A large ring of keys.</t>
  </si>
  <si>
    <t>2. A large knife and a sap.</t>
  </si>
  <si>
    <t>3. A pale of cold porridge from the kitchens.</t>
  </si>
  <si>
    <t>4. Loot seized from several prisoners.</t>
  </si>
  <si>
    <t>5. A pocket-sized prayer book.</t>
  </si>
  <si>
    <t>6. A spiked club.</t>
  </si>
  <si>
    <t>7. A scourge or whip.</t>
  </si>
  <si>
    <t>8. A wineskin.</t>
  </si>
  <si>
    <t>PRISONER</t>
  </si>
  <si>
    <t>d4 The prisoner has...</t>
  </si>
  <si>
    <t>1. A long scraggly beard.</t>
  </si>
  <si>
    <t>2. A patchy beard.</t>
  </si>
  <si>
    <t>3. Skin draped loosely over his bones.</t>
  </si>
  <si>
    <t>4. Boils and sores on his skin.</t>
  </si>
  <si>
    <t>d6 The prisoner is here because...</t>
  </si>
  <si>
    <t>1. He stole something.</t>
  </si>
  <si>
    <t>2. He killed someone.</t>
  </si>
  <si>
    <t>3. He raped someone.</t>
  </si>
  <si>
    <t>4. He was caught poaching on his liege’s land.</t>
  </si>
  <si>
    <t>5. He committed an act of fraud.</t>
  </si>
  <si>
    <t>6. Someone confused him with someone else.</t>
  </si>
  <si>
    <t>1. No hope of escape.</t>
  </si>
  <si>
    <t>2. A foolish optimism of his escape prospects.</t>
  </si>
  <si>
    <t>3. A tenuous grasp on sanity.</t>
  </si>
  <si>
    <t>4. Been driven mad.</t>
  </si>
  <si>
    <t>TORTURER</t>
  </si>
  <si>
    <t>d4 The torturer is...</t>
  </si>
  <si>
    <t>1. The bastard son of a noble house.</t>
  </si>
  <si>
    <t>2. A priest with a puritanical agenda.</t>
  </si>
  <si>
    <t>3. A horrible sadist.</t>
  </si>
  <si>
    <t>4. A wicked little man.</t>
  </si>
  <si>
    <t>d4 The torturer is looking to...</t>
  </si>
  <si>
    <t>1. Impress his liege with efficient confessions.</t>
  </si>
  <si>
    <t>3. Break a particularly willful prisoner.</t>
  </si>
  <si>
    <t>4. Frighten someone with grisly tales.</t>
  </si>
  <si>
    <t>d6 The torturer carries...</t>
  </si>
  <si>
    <t>1. A large knight and a scourge.</t>
  </si>
  <si>
    <t>2. A leatherbound set of blades, hooks, and</t>
  </si>
  <si>
    <t>prongs.</t>
  </si>
  <si>
    <t>3. Several strange potions and poisons.</t>
  </si>
  <si>
    <t>4. A trophy taken from a tortured prisoner.</t>
  </si>
  <si>
    <t>6. A flask of spirits.</t>
  </si>
  <si>
    <t>QUICK TOWN NPCs</t>
  </si>
  <si>
    <t>Use these tables for inspiration or roll them up randomly. Some of the tables could be rolled more.</t>
  </si>
  <si>
    <t>ALCHEMIST</t>
  </si>
  <si>
    <t>d6 The alchemist is...</t>
  </si>
  <si>
    <t>1. An apothecary.</t>
  </si>
  <si>
    <t>2. A hedge wizard.</t>
  </si>
  <si>
    <t>3. An herbalist.</t>
  </si>
  <si>
    <t>4. A poisonmaker.</t>
  </si>
  <si>
    <t>5. A potioneer.</t>
  </si>
  <si>
    <t>6. A pyromancer.</t>
  </si>
  <si>
    <t>d4 The alchemist is looking for...</t>
  </si>
  <si>
    <t>1. Delivery help.</t>
  </si>
  <si>
    <t>2. New recipes.</t>
  </si>
  <si>
    <t>3. Purchasers.</t>
  </si>
  <si>
    <t>4. Rare ingredients.</t>
  </si>
  <si>
    <t>d4 The alchemist carries...</t>
  </si>
  <si>
    <t>1. Several vials of acid.</t>
  </si>
  <si>
    <t>2. Several curatives.</t>
  </si>
  <si>
    <t>3. An unusual potion.</t>
  </si>
  <si>
    <t>4. A pyrophoric substance.</t>
  </si>
  <si>
    <t>CRIMINAL</t>
  </si>
  <si>
    <t>d6 The criminal is...</t>
  </si>
  <si>
    <t>1. An assassin.</t>
  </si>
  <si>
    <t>2. A con artist.</t>
  </si>
  <si>
    <t>3. A gambler.</t>
  </si>
  <si>
    <t>4. A poacher.</t>
  </si>
  <si>
    <t>5. A smuggler.</t>
  </si>
  <si>
    <t>6. A thief.</t>
  </si>
  <si>
    <t>d6 The criminal is looking for...</t>
  </si>
  <si>
    <t>1. Accomplices for a specific task.</t>
  </si>
  <si>
    <t>2. Revenge against a rival criminal.</t>
  </si>
  <si>
    <t>3. An easy mark.</t>
  </si>
  <si>
    <t>4. Extra muscle for some work.</t>
  </si>
  <si>
    <t>5. Rumors that may lead to a big score.</t>
  </si>
  <si>
    <t>6. A rowdy evening of carousing.</t>
  </si>
  <si>
    <t>d6 The criminal carries...</t>
  </si>
  <si>
    <t>1. A crossbow with poisoned darts.</t>
  </si>
  <si>
    <t>2. Several daggers.</t>
  </si>
  <si>
    <t>3. A short sword.</t>
  </si>
  <si>
    <t>4. A lucky charm.</t>
  </si>
  <si>
    <t>5. The token of a love.</t>
  </si>
  <si>
    <t>6. Letters for blackmail.</t>
  </si>
  <si>
    <t>LAW OFFICIAL</t>
  </si>
  <si>
    <t>d4 The law official is...</t>
  </si>
  <si>
    <t>1. A constable.</t>
  </si>
  <si>
    <t>2. A sheriff.</t>
  </si>
  <si>
    <t>3. A guard captain.</t>
  </si>
  <si>
    <t>4. A magistrate.</t>
  </si>
  <si>
    <t>d6 The law official seeks someone to...</t>
  </si>
  <si>
    <t>1. Capture a fugitive.</t>
  </si>
  <si>
    <t>2. Catch a thief.</t>
  </si>
  <si>
    <t>3. Guard a specific location or person.</t>
  </si>
  <si>
    <t>4. Investigate a disappearance.</t>
  </si>
  <si>
    <t>5. Solve a murder mystery.</t>
  </si>
  <si>
    <t>6. Have an ale with.</t>
  </si>
  <si>
    <t>d4 The law official carries...</t>
  </si>
  <si>
    <t>1. An arrest warrant for an outlaw.</t>
  </si>
  <si>
    <t>2. A proclamation for a reward.</t>
  </si>
  <si>
    <t>3. A knife or sword of the office.</t>
  </si>
  <si>
    <t>4. A pocketbook of local laws.</t>
  </si>
  <si>
    <t>NOBLE</t>
  </si>
  <si>
    <t>d6 The noble is...</t>
  </si>
  <si>
    <t>1. A knight.</t>
  </si>
  <si>
    <t>2. An old lord.</t>
  </si>
  <si>
    <t>3. A young lord.</t>
  </si>
  <si>
    <t>4. An old lady.</t>
  </si>
  <si>
    <t>5. A young lady.</t>
  </si>
  <si>
    <t>6. A wealthy merchant.</t>
  </si>
  <si>
    <t>d6 The noble seeks someone to...</t>
  </si>
  <si>
    <t>3. Prepare an army for war.</t>
  </si>
  <si>
    <t>5. Secure a marriage.</t>
  </si>
  <si>
    <t>d6 The noble carries...</t>
  </si>
  <si>
    <t>4. Some very valuable jewels.</t>
  </si>
  <si>
    <t>PRIEST</t>
  </si>
  <si>
    <t>d6 The priest is...</t>
  </si>
  <si>
    <t>1. An acolyte.</t>
  </si>
  <si>
    <t>2. A healer.</t>
  </si>
  <si>
    <t>3. A monk.</t>
  </si>
  <si>
    <t>4. A preacher.</t>
  </si>
  <si>
    <t>5. A scholar.</t>
  </si>
  <si>
    <t>6. A witch-hunter.</t>
  </si>
  <si>
    <t>d4 The priest is looking for...</t>
  </si>
  <si>
    <t>1. New converts.</t>
  </si>
  <si>
    <t>2. Heretics.</t>
  </si>
  <si>
    <t>3. Relics and rare lore.</t>
  </si>
  <si>
    <t>d4 The priest carries...</t>
  </si>
  <si>
    <t>1. A well-used cudgel.</t>
  </si>
  <si>
    <t>SEER</t>
  </si>
  <si>
    <t>d6 The seer is...</t>
  </si>
  <si>
    <t>1. An astrologer.</t>
  </si>
  <si>
    <t>2. A fortune teller.</t>
  </si>
  <si>
    <t>3. A mystic</t>
  </si>
  <si>
    <t>4. A lorekeeper.</t>
  </si>
  <si>
    <t>5. A prophet.</t>
  </si>
  <si>
    <t>6. A psychic.</t>
  </si>
  <si>
    <t>d4 The seer is looking for...</t>
  </si>
  <si>
    <t>1. The answer to a riddle or prophecy.</t>
  </si>
  <si>
    <t>2. New clients for a reading.</t>
  </si>
  <si>
    <t>3. News regarding a missing person.</t>
  </si>
  <si>
    <t>4. Some juicy gossip.</t>
  </si>
  <si>
    <t>d4 The seer carries...</t>
  </si>
  <si>
    <t>1. A crystal ball.</t>
  </si>
  <si>
    <t>2. A dowsing rod.</t>
  </si>
  <si>
    <t>3. A large, sharp-pointed knife.</t>
  </si>
  <si>
    <t>4. Several star charts.</t>
  </si>
  <si>
    <t>SMITH</t>
  </si>
  <si>
    <t>1. An armorer.</t>
  </si>
  <si>
    <t>2. A blacksmith.</t>
  </si>
  <si>
    <t>3. A farrier.</t>
  </si>
  <si>
    <t>4. A weaponsmith.</t>
  </si>
  <si>
    <t>1. A new apprentice.</t>
  </si>
  <si>
    <t>2. A journeyman craftsman.</t>
  </si>
  <si>
    <t>3. Rare metals.</t>
  </si>
  <si>
    <t>2. A metal trinket made by the smith.</t>
  </si>
  <si>
    <t>3. A contract commissioning a sword.</t>
  </si>
  <si>
    <t>TRAVELER</t>
  </si>
  <si>
    <t>d8 The traveler is...</t>
  </si>
  <si>
    <t>1. An exile.</t>
  </si>
  <si>
    <t>2. A minstrel.</t>
  </si>
  <si>
    <t>3. A peddler.</t>
  </si>
  <si>
    <t>4. A pilgrim.</t>
  </si>
  <si>
    <t>5. A refugee.</t>
  </si>
  <si>
    <t>6. A sellsword.</t>
  </si>
  <si>
    <t>7. A storyteller.</t>
  </si>
  <si>
    <t>8. A treasure hunter.</t>
  </si>
  <si>
    <t>d10 The traveler is seeking...</t>
  </si>
  <si>
    <t>1. Accomplices on a quest.</t>
  </si>
  <si>
    <t>2. The answer to a riddle</t>
  </si>
  <si>
    <t>3. An audience to entertain.</t>
  </si>
  <si>
    <t>4. A long lost friend.</t>
  </si>
  <si>
    <t>5. The return of something stolen.</t>
  </si>
  <si>
    <t>6. Revenge against a bitter rival.</t>
  </si>
  <si>
    <t>7. A permanent home.</t>
  </si>
  <si>
    <t>8. Steady work.</t>
  </si>
  <si>
    <t>9. Traveling companions.</t>
  </si>
  <si>
    <t>10. Drinking companions.</t>
  </si>
  <si>
    <t>BARKEEP/BARMAID</t>
  </si>
  <si>
    <t>d8 The server greets you with...</t>
  </si>
  <si>
    <t>1. A mug of ale.</t>
  </si>
  <si>
    <t>2. A goblet of wine.</t>
  </si>
  <si>
    <t>3. A glass of water.</t>
  </si>
  <si>
    <t>4. An offer to move to a better table.</t>
  </si>
  <si>
    <t>5. A look of exasperation.</t>
  </si>
  <si>
    <t>6. A warm handshake.</t>
  </si>
  <si>
    <t>7. A pat on the back.</t>
  </si>
  <si>
    <t>8. A pretty smile.</t>
  </si>
  <si>
    <t>d6 The server is looking for...</t>
  </si>
  <si>
    <t>1. An excuse to kick you out.</t>
  </si>
  <si>
    <t>2. Someone more important to talk to.</t>
  </si>
  <si>
    <t>3. Someone to do some pest removal.</t>
  </si>
  <si>
    <t>4. A big tip.</t>
  </si>
  <si>
    <t>5. A good joke or story.</t>
  </si>
  <si>
    <t>6. The bottom of a bottle.</t>
  </si>
  <si>
    <t>d4 The server carries...</t>
  </si>
  <si>
    <t>1. A filthy rag.</t>
  </si>
  <si>
    <t>2. A pristine silk handkerchief.</t>
  </si>
  <si>
    <t>3. A piece of conspicuous jewelry.</t>
  </si>
  <si>
    <t>4. An unusual belt purse.</t>
  </si>
  <si>
    <t>Disclosure</t>
  </si>
  <si>
    <t>I've incorporated many of the great suggestions from the original threads. If you see something you originally wrote, many thanks for contributing to the thread.</t>
  </si>
  <si>
    <t>d10 Mercenary Band, Positive</t>
  </si>
  <si>
    <t>1. Spotless, they are a reliable professional</t>
  </si>
  <si>
    <t>2. Eccentric, they are a capable professional with unusual methods</t>
  </si>
  <si>
    <t>3. Brave, they won't back down from a fight</t>
  </si>
  <si>
    <t>4. Reliable, they won't back out when the going gets tough</t>
  </si>
  <si>
    <t>5. Skilled, they can handle a difficult mission</t>
  </si>
  <si>
    <t>6. Legendary, they won an impossible battle</t>
  </si>
  <si>
    <t>7. Lengthy, they are known for many successful past missions</t>
  </si>
  <si>
    <t>8. Exotic, they are from a far away land</t>
  </si>
  <si>
    <t>9. Stalwart, they are known for having stood their ground during a dangerous battle</t>
  </si>
  <si>
    <t>10. Noble, they fought a desperate battle pro bono</t>
  </si>
  <si>
    <t>d10 Mercenary Band, Neutral</t>
  </si>
  <si>
    <t>1. Neutral, they hold to the letter of the contract</t>
  </si>
  <si>
    <t>2. Raucous, but reliable in a fight</t>
  </si>
  <si>
    <t>3. Solved a problem in a nearby city, but charge a large amount for it</t>
  </si>
  <si>
    <t>4. Professional, they are loyal to the contract</t>
  </si>
  <si>
    <t>5. Stern, their leader is known to be humorless</t>
  </si>
  <si>
    <t>6. Unremarkable, they have won some battles and lost some to</t>
  </si>
  <si>
    <t>7. Safe, they kept looters under control during a tense situation</t>
  </si>
  <si>
    <t>8. Rigid, they kept to the contract even though they could have helped</t>
  </si>
  <si>
    <t>9. New, they have yet to prove themselves</t>
  </si>
  <si>
    <t>10. Enigmatic, they are known as a professional but the exact nature of their missions is unknown</t>
  </si>
  <si>
    <t>d10 Mercenary Band, Negative</t>
  </si>
  <si>
    <t>1. They caused a serious problem in a nearby city</t>
  </si>
  <si>
    <t>2. Disgraced, they abandoned a contract when it got to difficult</t>
  </si>
  <si>
    <t>3. Dangerous, they killed someone they should not have</t>
  </si>
  <si>
    <t>4. Damaged, most of their troops were lost in a recent battle</t>
  </si>
  <si>
    <t>5. Fanatical, they believe in an unpopular god for the region and clash with their employer</t>
  </si>
  <si>
    <t>6. Messy, they destroy the land they pass through with their foraging</t>
  </si>
  <si>
    <t>7. Unreliable, they lost their last four battles</t>
  </si>
  <si>
    <t>8. Spineless, they ran from a recent battle</t>
  </si>
  <si>
    <t>9. Deserters, they took and employers money and disappeared</t>
  </si>
  <si>
    <t>10. Rebels, they are former army troops fighting against the kingdom now for dubious causes</t>
  </si>
  <si>
    <t>d10 Battle, you were involved</t>
  </si>
  <si>
    <t>1. You were there! It was awful!</t>
  </si>
  <si>
    <t>2. You were there! It was glorious!</t>
  </si>
  <si>
    <t>3. Someone in your family achieved fame there.</t>
  </si>
  <si>
    <t>4. Someone in your family was killed there.</t>
  </si>
  <si>
    <t>5. It happened near a town where you were living at the time.</t>
  </si>
  <si>
    <t>6. You were supposed to have been there.</t>
  </si>
  <si>
    <t>7. You made a good friend on the eve of battle and are still comrades.</t>
  </si>
  <si>
    <t>8. You were wounded and left for dead.</t>
  </si>
  <si>
    <t>9. Foragers sacked your home for supplies before the battle.</t>
  </si>
  <si>
    <t>10. You hid to avoid being conscripted.</t>
  </si>
  <si>
    <t>d10 Battle, Positive</t>
  </si>
  <si>
    <t>1. It was lead by a famous general, he won handily</t>
  </si>
  <si>
    <t>2. A great hero rose from the ranks of the common men.</t>
  </si>
  <si>
    <t>3. A mercenary unit of great renown fought there.</t>
  </si>
  <si>
    <t>4. It was the last battle ending a brutal war with a victory for the side of good.</t>
  </si>
  <si>
    <t>5. The battle was so important archons took the field.</t>
  </si>
  <si>
    <t>6. A small band of heroes joined the battle at the last minute and made the difference.</t>
  </si>
  <si>
    <t>7. The king finally took the field personally and drove out his enemies.</t>
  </si>
  <si>
    <t>8. The battle was won by the king's hand picked general, a brave man from exotic lands.</t>
  </si>
  <si>
    <t>9. The royal battlemages carved the enemy into tiny pieces.</t>
  </si>
  <si>
    <t>10. The battle was the positive proof of a powerful alliance.</t>
  </si>
  <si>
    <t>d10 Battle, Neutral</t>
  </si>
  <si>
    <t>1. The battle was a draw and the war goes on.</t>
  </si>
  <si>
    <t>2. Both armies missed each other fumbling around in the dark, only their cavalry actually engaged.</t>
  </si>
  <si>
    <t>3. A huge portion of the army died but the troops won in the end, the victory was hollow for the few survivors.</t>
  </si>
  <si>
    <t>4. Much of the army was made up of conscripts.</t>
  </si>
  <si>
    <t>5. A new pike technique was used there that may become common in the future.</t>
  </si>
  <si>
    <t>6. A unusual group of allies carried the fight and took most of the glory from the common troops.</t>
  </si>
  <si>
    <t>7. The king fought under the oldest banner of his house.</t>
  </si>
  <si>
    <t>8. The battle took place at a legendary fortification.</t>
  </si>
  <si>
    <t>9. The army had to march far from its home to fight there.</t>
  </si>
  <si>
    <t>10. The troops came home from the war having seen strange places and practicing strange customs.</t>
  </si>
  <si>
    <t>d10 Battle, Negative</t>
  </si>
  <si>
    <t>1. An old enemy joined the fight.</t>
  </si>
  <si>
    <t>2. It was a terrible defeat. The kings forces were routed.</t>
  </si>
  <si>
    <t>3. The king himself was slain with his entire bodyguard unit.</t>
  </si>
  <si>
    <t>4. The king was captured and publicly executed by the enemy.</t>
  </si>
  <si>
    <t>5. The enemy debuted a powerful new fighting technique.</t>
  </si>
  <si>
    <t>6. One side used dangerous monsters captured and trained for war.</t>
  </si>
  <si>
    <t>7. A dark wizard was leading the enemy forces.</t>
  </si>
  <si>
    <t>8. On the verge of defeat, one side made a deal with the devils to secure victory at the terrible price.</t>
  </si>
  <si>
    <t>9. It was a bloody and terrible siege.</t>
  </si>
  <si>
    <t>10. A legendary enemy appeared for the first time.</t>
  </si>
  <si>
    <t>d30 You have heard of this priest before because....</t>
  </si>
  <si>
    <t>1. they're the highest-ranking priest of their god in the city, something like a bishop.</t>
  </si>
  <si>
    <t>2. they are quite vocal in their opposition to recent reforms within their church.</t>
  </si>
  <si>
    <t>3. they are vocal in favor of reforms they feel their church is overdue for.</t>
  </si>
  <si>
    <t>4. they are known in certain circles to provide healing without asking how the wounds were acquired.</t>
  </si>
  <si>
    <t>5. they fearlessly run a soup kitchen in an area most charitable organizations avoid.</t>
  </si>
  <si>
    <t>6. rumors are circulating about unsavory habits involving young parishioners.</t>
  </si>
  <si>
    <t>7. Drunkenness. He will out-drink you.</t>
  </si>
  <si>
    <t>8. Toughness. He will punch you in the face if you insult his god.</t>
  </si>
  <si>
    <t>9. Geniality. He's quick with a joke and a toast, and always makes those around him feel better.</t>
  </si>
  <si>
    <t>10. Hard-line beliefs. He preaches death to infidels.</t>
  </si>
  <si>
    <t>11. Tolerance. He regularly dines with adherents of other faiths or those with no faith at all.</t>
  </si>
  <si>
    <t>12. Pacifism. He always advocates non-violence, even to the point of being beat nearly to death by some thugs.</t>
  </si>
  <si>
    <t>13. Curiosity. He is well-read and well-versed in many scholarly subjects.</t>
  </si>
  <si>
    <t>14. Teaching advocacy. He is a gifted teacher and is committed to increasing literacy among members of the lower classes.</t>
  </si>
  <si>
    <t>15. Preaching. He is a captivating speaker, able to attract and to motivate large crowds.</t>
  </si>
  <si>
    <t>16. Humorless, they only wear dark colored clothing.</t>
  </si>
  <si>
    <t>17. Cynical, they don't actually believe what they preach.</t>
  </si>
  <si>
    <t>18. Dry witted, they are prone to sarcastic replies when not preaching.</t>
  </si>
  <si>
    <t>19. Cryptic, they often answer a question with a question.</t>
  </si>
  <si>
    <t>20. Political, they take aim at the establishment in their sermons.</t>
  </si>
  <si>
    <t>21. Dangerous, they might be starting a cult.</t>
  </si>
  <si>
    <t>22. False, they have been accused of convincing people to walk into a trap from another religion.</t>
  </si>
  <si>
    <t>23. Associated with dangerous humanoids whom they send gullible parishioners to as tribute.</t>
  </si>
  <si>
    <t>24. Drug addled, they claim to see visions while using a pungent smoke.</t>
  </si>
  <si>
    <t>25. A Prophet, they actually have divine visions.</t>
  </si>
  <si>
    <t>26. They claim to be a demigod or angel.</t>
  </si>
  <si>
    <t>27. Poor, his parish has nothing but he perseveres.</t>
  </si>
  <si>
    <t>28. Retired, he was an adventurer in a prior life.</t>
  </si>
  <si>
    <t>29. Blessed, he was slain in battle with an enemy but the gods revived him.</t>
  </si>
  <si>
    <t xml:space="preserve">30. Smelly, his pipe smoke is extremely pungent. </t>
  </si>
  <si>
    <t>d20 You have heard of this mage before because....</t>
  </si>
  <si>
    <t>1. they are rumored to have taken a demon as a lover.</t>
  </si>
  <si>
    <t>2. they misspoke and cause an entire town to go barren.</t>
  </si>
  <si>
    <t>3. they saved an entire garrison using only a minor spell.</t>
  </si>
  <si>
    <t>4. they angered a cruel baroness by animating her favorite brush.</t>
  </si>
  <si>
    <t>5. they move every full moon because children go missing.</t>
  </si>
  <si>
    <t>6. they are hated by every other mage for their good looks.</t>
  </si>
  <si>
    <t>7. He keeps dangerous minions in his tower.</t>
  </si>
  <si>
    <t>8. One of his experiments escaped and ran through the streets of the city.</t>
  </si>
  <si>
    <t>9. A dragon came to visit him last autumn.</t>
  </si>
  <si>
    <t>10. He keeps a hedge maze to keep away unwanted guests.</t>
  </si>
  <si>
    <t>11. He breeds war beasts for the kings army.</t>
  </si>
  <si>
    <t>12. The king has been trying to bring him under his thumb for months.</t>
  </si>
  <si>
    <t>13. One of his rages burned down half the city.</t>
  </si>
  <si>
    <t>14. He's actually fond of visitors, but people are still scared of him. No one knows if they actually should be.</t>
  </si>
  <si>
    <t>15. His automatons purchase all his food in the city on monthly errands.</t>
  </si>
  <si>
    <t>16. Anyone who enters his tower never comes out</t>
  </si>
  <si>
    <t>17. He often comes to town to entertain children with his cantrips.</t>
  </si>
  <si>
    <t>18. He's an expert in divination spells, and will cast them for anyone for a small fee.</t>
  </si>
  <si>
    <t>19. It's rumored that he curses people without them realizing it.</t>
  </si>
  <si>
    <t>20. It's rumored that he has magical cures for certain... maladies.</t>
  </si>
  <si>
    <t>d20 You have heard of this thief before because he is...</t>
  </si>
  <si>
    <t>1. Bold. He stole the crown of the Dragon-Emperor right off his head.</t>
  </si>
  <si>
    <t>2. Audacious. He stole the maidenhood of the king's own daughter.</t>
  </si>
  <si>
    <t>3. Extraordinary. He single-handedly stole an entire wagon train of spices and silver in the Bleak Wastes.</t>
  </si>
  <si>
    <t>4. Amorous. He stole the heart of a Southron queen who's been after his head ever since he left her for a fortune teller.</t>
  </si>
  <si>
    <t>5. Daring. He stole the spellbook of the most powerful elf-witch in the world.</t>
  </si>
  <si>
    <t>6. Heroic. He crept into the Duke's camp and swapped the Duke's map for a phony that led him to maneuver his host right into the rebels trap.</t>
  </si>
  <si>
    <t>7. Magnanimous. He slipped in and out of the Pit of Despair six times to bring food and news to the captive prince.</t>
  </si>
  <si>
    <t>8. Devilish. He climbed the walls of the Black Keep just to steal a kiss from the shadow sorceress as she slept.</t>
  </si>
  <si>
    <t>9. Handsome. He has the most amazing mustache.</t>
  </si>
  <si>
    <t>10. Generous. He sells the loot he steals to feed the orphans of the River District.</t>
  </si>
  <si>
    <t>11. Did something impossible, like stealing a dragons tail.Tale perhaps? The dragon was a bard and the original story is much less epic?</t>
  </si>
  <si>
    <t>12. Killed a man with a fork.</t>
  </si>
  <si>
    <t>13. Is the sole survivor from a legendary job.</t>
  </si>
  <si>
    <t>14. Is the last living man who knows where a great treasure is hidden.</t>
  </si>
  <si>
    <t>15. Buried a great treasure then killed himself for reasons unknown.</t>
  </si>
  <si>
    <t>16. Works for the army as a scout.</t>
  </si>
  <si>
    <t>17. Stole something important, but no one can prove it.</t>
  </si>
  <si>
    <t>18. On the lam after tricking a devil into selling its soul.</t>
  </si>
  <si>
    <t>19. Tough. He lost two fingers in a trapped chest, but still managed to snag the goods from inside.</t>
  </si>
  <si>
    <t>20. Slippery. He's escaped from the world's most inescapable prison. Twice.</t>
  </si>
  <si>
    <t>d20 You have heard of this merchant before because</t>
  </si>
  <si>
    <t>1. they gouge outrageous prices if their customers have no alternatives.</t>
  </si>
  <si>
    <t>2. they are exceptionally wealthy, surpassing even the local ruler.</t>
  </si>
  <si>
    <t>3. they have donated gold to noble causes in the past.</t>
  </si>
  <si>
    <t>4. they are known in certain circles to buy items without asking where they came from</t>
  </si>
  <si>
    <t>5. they are known to hire ruthless thugs to go after debtors.</t>
  </si>
  <si>
    <t>6. they are said to have made their first fortune by illegally minting coins.</t>
  </si>
  <si>
    <t>7. They are reputed to sell illegal magic items.</t>
  </si>
  <si>
    <t>8. They are well known in the fur trade.</t>
  </si>
  <si>
    <t>9. They always wear an elaborate headdress.</t>
  </si>
  <si>
    <t>10. They are up and coming, and seek to eliminate the competition.</t>
  </si>
  <si>
    <t>11. They own a ship or fleet.</t>
  </si>
  <si>
    <t>12. They helped found an important company.</t>
  </si>
  <si>
    <t>13. In distant places their company is actually more powerful than the king.</t>
  </si>
  <si>
    <t>14. they're often the butt of jokes made in the local tavern.</t>
  </si>
  <si>
    <t>15. rumor says that it's entirely made up of doppelgangers.</t>
  </si>
  <si>
    <t>16. of their reputation to having access to highly restricted goods.</t>
  </si>
  <si>
    <t>17. the local populace invoke they're name as a foul mouthed curse.</t>
  </si>
  <si>
    <t>18. members are identifiable by their yellow and red armor.</t>
  </si>
  <si>
    <t>19. of their ruthless efficiency in advancing their mysterious goals.</t>
  </si>
  <si>
    <t>20. they hold an iron grip on the local cheese market.</t>
  </si>
  <si>
    <t>d10 You have heard of this Explorer before because...</t>
  </si>
  <si>
    <t>1. He published a book of his sojourns in a distant land. The book gained fame for its vivid and outlandish stories. (Which may or may not be true, which might lead to moral dilemma if the party is positioned to expose him as a fraud.)</t>
  </si>
  <si>
    <t>2. She was a noblewoman who decided to travel to the holy city of a foreign land. Her actions are on the one hand considered improper, yet everyone is eager to hear of her adventures.</t>
  </si>
  <si>
    <t>3. He and several other adventurers participated in a race to be the first to get to one of the most inhospitable places on the continent. He was the only one to come back alive.</t>
  </si>
  <si>
    <t>4. He went on an expedition to a far off island years ago, promising to return with a horde of magical metal. He just returned recently, mostly empty handed, and completely disgraced.</t>
  </si>
  <si>
    <t>5. Had his ships custom built.</t>
  </si>
  <si>
    <t>6. Published a book about his sojourns claiming a prior explorers book is full of crap.</t>
  </si>
  <si>
    <t>7. Bumped off a rival in a distant land.</t>
  </si>
  <si>
    <t>8. Is seeking to launch one last expedition to clean his name from the disgrace of his failed ventures.</t>
  </si>
  <si>
    <t>9. She became a noblewomen of a distant land through her exploits and has returned home because....?</t>
  </si>
  <si>
    <t>10. He has be believed dead a dozen times already, but always turns up alive and well.</t>
  </si>
  <si>
    <t>d20 You have heard of this Dragon before because...</t>
  </si>
  <si>
    <t>1. It is a peaceful chatterbox. It can talk the hind leg off a donkey, and generally lets people go with a warning.</t>
  </si>
  <si>
    <t>2. It is a beautiful chatterbox, talkative and extremely vain.</t>
  </si>
  <si>
    <t>3. Obsessive Compulsive Hoarder. Its belongings have to be arranged just so.</t>
  </si>
  <si>
    <t>4. Romantically Predatory. It's always taking humanoid form to seduce impressionable young things.</t>
  </si>
  <si>
    <t>5. Has a strange hobby like carving wooden puppets or collecting butterflies.</t>
  </si>
  <si>
    <t>6. Has a unusual horde, like dungeon puzzle doors, and will pay adventures to bring it new pieces for its collection.</t>
  </si>
  <si>
    <t>7. Is colorblind and mated with the wrong color female dragon.</t>
  </si>
  <si>
    <t>8. Is an aspiring author of travel guides but keeps frightening the peasants in new and unusual places.</t>
  </si>
  <si>
    <t>9. Considers itself a naturalist and collects animals, and people, from distant lands.</t>
  </si>
  <si>
    <t>10. Burned down a windmill that was blocking its view of the ocean.</t>
  </si>
  <si>
    <t>11. Has the wrong breath weapon for its color.</t>
  </si>
  <si>
    <t>12. Likes to capture its victims and paint their portrait before eating them.</t>
  </si>
  <si>
    <t>13. Somehow lost its horde recently and is looking for revenge.</t>
  </si>
  <si>
    <t>14. Keeps its horde in a pocket plane many thieves have tried to reach.</t>
  </si>
  <si>
    <t>15. Has a secret bond villain style lair and mustache twirling henchmen.</t>
  </si>
  <si>
    <t>16. Has some flaw that makes the locals refuse to take its threats seriously.</t>
  </si>
  <si>
    <t>17. Vicious. This monster defends its territory at all costs.</t>
  </si>
  <si>
    <t>18. Voracious. This creature's hunger is never stated.</t>
  </si>
  <si>
    <t>19. Cruel. You'll beg for death long before this creature grants it.</t>
  </si>
  <si>
    <t>20. Stealthy. This creature can move soundlessly.</t>
  </si>
  <si>
    <t>d30 You have heard of this landmark/city before because...</t>
  </si>
  <si>
    <t>1. It's a barbaric monument to a dead people.</t>
  </si>
  <si>
    <t>2. It's unmistakable as anything else.</t>
  </si>
  <si>
    <t>3. It dangerous to go there and extremely spooky.</t>
  </si>
  <si>
    <t>4. You only see it if you have made a terrible mistake and gone somewhere bad.</t>
  </si>
  <si>
    <t>5. It's rumored to move around.</t>
  </si>
  <si>
    <t>6. It's man made, like a ship graveyard.</t>
  </si>
  <si>
    <t>7. It's naturally occurring, like a mesa.</t>
  </si>
  <si>
    <t>8. It's less of a landmark and more of a region with a distinct character.</t>
  </si>
  <si>
    <t>9. It was formed by a great disaster.</t>
  </si>
  <si>
    <t>10. Travelers come from leagues around to see it.</t>
  </si>
  <si>
    <t>11. Pilgrims leave trinkets and carvings in/on/at it as they make their way for good luck.</t>
  </si>
  <si>
    <t>12. It is thought that the tree will endure forever, so lovers carve their initials into it.</t>
  </si>
  <si>
    <t>13. Children rub the statue's nose for good luck.</t>
  </si>
  <si>
    <t>14. A famous assassination occurred on this spot.</t>
  </si>
  <si>
    <t>15. The world grieved when the sorceress who is interred here died.</t>
  </si>
  <si>
    <t>16. Your elder brother came to this place on his Grand Tour of the realm.</t>
  </si>
  <si>
    <t>17. It's ugly as sin and doesn't at all fit with the surrounding architecture.</t>
  </si>
  <si>
    <t>18. They are a major port and trading hub.</t>
  </si>
  <si>
    <t>19. They are at war with another city.</t>
  </si>
  <si>
    <t>20. They are the only place an important spice can be grown.</t>
  </si>
  <si>
    <t>21. It is built around a giant mine.</t>
  </si>
  <si>
    <t>22. The lord of the city is a dragon.</t>
  </si>
  <si>
    <t>23. The city was the site of a great magical disaster.</t>
  </si>
  <si>
    <t>24. The city was the site of a great magical experiment.</t>
  </si>
  <si>
    <t>25. A great artist makes his home there.</t>
  </si>
  <si>
    <t>26. It's so far away you've only barely heard its name before.</t>
  </si>
  <si>
    <t>27. It's caught between two large, aggressive neighbors.</t>
  </si>
  <si>
    <t>28. It's home to the largest cathedral to &lt;god&gt; in the realm.</t>
  </si>
  <si>
    <t>29. It suffers a terrible reputation as a wretched hive of scum and villainy.</t>
  </si>
  <si>
    <t xml:space="preserve">30. Dark magics seem to gravitate to the region. </t>
  </si>
  <si>
    <t>Random Temple: Kneel before the gods...</t>
  </si>
  <si>
    <t>d6 Worshipers at the temple pray to...</t>
  </si>
  <si>
    <t>1. One god and only one god.</t>
  </si>
  <si>
    <t>2. One god primarily, but other gods occasionally or for specific petitions.</t>
  </si>
  <si>
    <t>3. Several gods within a pantheon, but two gods above the rest.</t>
  </si>
  <si>
    <t>4. An entire pantheon, petitioning each god for specific needs.</t>
  </si>
  <si>
    <t>5. One god to whom the temple was not originally dedicated.</t>
  </si>
  <si>
    <t>6. Several gods within a pantheon to whom the temple was not originally dedicated.</t>
  </si>
  <si>
    <t>d12 The temple is dedicated to...</t>
  </si>
  <si>
    <t>1. The god of the sun/sky.</t>
  </si>
  <si>
    <t>2. The earth/mother goddess.</t>
  </si>
  <si>
    <t>3. The goddess of the harvest/seasons.</t>
  </si>
  <si>
    <t>4. The god of craft/knowledge.</t>
  </si>
  <si>
    <t>5. The god of darkness/secrets.</t>
  </si>
  <si>
    <t>6. The god of death/evil.</t>
  </si>
  <si>
    <t>7. The goddess of the hunt/woodlands.</t>
  </si>
  <si>
    <t>8. The goddess of love/beauty/fertility.</t>
  </si>
  <si>
    <t>9. The goddess of the moon/magic.</t>
  </si>
  <si>
    <t>10. The god of the seas/storms.</t>
  </si>
  <si>
    <t>11. The trickster/messenger god.</t>
  </si>
  <si>
    <t>12. The tyrant/war god.</t>
  </si>
  <si>
    <t>d12 The temple is known for its...</t>
  </si>
  <si>
    <t>1. Miraculous healers.</t>
  </si>
  <si>
    <t>2. Compassionate healers.</t>
  </si>
  <si>
    <t>3. Beautiful priestesses.</t>
  </si>
  <si>
    <t>4. Wonderful music.</t>
  </si>
  <si>
    <t>5. Accurate prophecies.</t>
  </si>
  <si>
    <t>6. Collected wisdom.</t>
  </si>
  <si>
    <t>7. Stunning architecture.</t>
  </si>
  <si>
    <t>8. Unusual architecture.</t>
  </si>
  <si>
    <t>9. Incredible collection of artwork.</t>
  </si>
  <si>
    <t>10. A famous sculpture or painting.</t>
  </si>
  <si>
    <t>11. Lengthy prayer services and vigils.</t>
  </si>
  <si>
    <t>12. Lively prayer services and debates.</t>
  </si>
  <si>
    <t>d6 The temple’s entrance is guarded by...</t>
  </si>
  <si>
    <t>1. A sworn order of devout warriors.</t>
  </si>
  <si>
    <t>2. Sellswords.</t>
  </si>
  <si>
    <t>3. Frightening statues of monstrous beings.</t>
  </si>
  <si>
    <t>4. Impressive, colossal statues of warriors.</t>
  </si>
  <si>
    <t>5. Statues of beautiful maidens, beckoning visitors into a trap.</t>
  </si>
  <si>
    <t>6. Nothing; the temple welcomes all.</t>
  </si>
  <si>
    <t>d8 The temple’s main floorplan is...</t>
  </si>
  <si>
    <t>1. Circular.</t>
  </si>
  <si>
    <t>2. Ellipsoidal.</t>
  </si>
  <si>
    <t>3. Triangular.</t>
  </si>
  <si>
    <t>4. Square.</t>
  </si>
  <si>
    <t>5. Rectangular.</t>
  </si>
  <si>
    <t>6. Pentagonal.</t>
  </si>
  <si>
    <t>7. Polygonal with many sides (d8): 1. six; 2. seven; 3. eight; 4. nine; 5. ten; 6. twelve; 7. thirteen; 8. twenty.</t>
  </si>
  <si>
    <t>8. Cruciform.</t>
  </si>
  <si>
    <t>d8 The temple complex is...</t>
  </si>
  <si>
    <t>1. Simple; a large main worship chamber with a handful of functional rooms adjoining.</t>
  </si>
  <si>
    <t>2. Simple with a large annex; the annex contains many chambers.</t>
  </si>
  <si>
    <t>3. Simple with fortifications.</t>
  </si>
  <si>
    <t>4. Multi-layered; upper or lower layers are inaccessible to most visitors.</t>
  </si>
  <si>
    <t>5. Multi-winged; some wings are inaccessible to most visitors.</t>
  </si>
  <si>
    <t>6. Arranged in a concentric fashion; inner areas are inaccessible to most visitors.</t>
  </si>
  <si>
    <t>7. Labyrinthine; designed to deliberately confuse outsiders.</t>
  </si>
  <si>
    <t>8. Simple with an intricate complex hidden beneath the main worship chamber.</t>
  </si>
  <si>
    <t>d6 The temple grounds are dominated by...</t>
  </si>
  <si>
    <t>1. Impenetrable stone walls.</t>
  </si>
  <si>
    <t>2. An intricate structure of stone arches and columns.</t>
  </si>
  <si>
    <t>3. A colorful structure of painted wood and plaster.</t>
  </si>
  <si>
    <t>4. A sturdy structure of finished wood.</t>
  </si>
  <si>
    <t>5. A solid structure of oven-fired clay bricks.</t>
  </si>
  <si>
    <t>6. A large structure with immense metal doors (d6): 1. brass; 2. bronze; 3. gold; 4. iron; 5. steel; 6. tin</t>
  </si>
  <si>
    <t>d8 Many of the temple’s interior walls are...</t>
  </si>
  <si>
    <t>1. Rough hewn stone.</t>
  </si>
  <si>
    <t>2. Smooth cut stone.</t>
  </si>
  <si>
    <t>3. Painted or lacquered wood.</t>
  </si>
  <si>
    <t>4. Unfinished hardwood.</t>
  </si>
  <si>
    <t>5. Decorated with intricate mosaics.</t>
  </si>
  <si>
    <t>6. Decorated with elaborate murals.</t>
  </si>
  <si>
    <t>7. Decorated with relief carvings.</t>
  </si>
  <si>
    <t>8. Decorated with sacred texts and runes.</t>
  </si>
  <si>
    <t>d6 Many of the temple’s ceilings are...</t>
  </si>
  <si>
    <t>1. Uncomfortably close to your head.</t>
  </si>
  <si>
    <t>2. Connected to the floor by columns.</t>
  </si>
  <si>
    <t>3. Painted with mythological scenes.</t>
  </si>
  <si>
    <t>4. So high its difficult to make out details.</t>
  </si>
  <si>
    <t>5. Vaulted.</t>
  </si>
  <si>
    <t>6. Domes or cupolas.</t>
  </si>
  <si>
    <t>d20 Rooms: The purpose of this room is...</t>
  </si>
  <si>
    <t>1. An armory or barracks.</t>
  </si>
  <si>
    <t>2. A guardroom or sentry post.</t>
  </si>
  <si>
    <t>3. A cell for solitary prayer.</t>
  </si>
  <si>
    <t>4. A cell for holding prisoners.</t>
  </si>
  <si>
    <t>5. An inquisition or torture chamber.</t>
  </si>
  <si>
    <t>6. A priest’s office or audience chamber.</t>
  </si>
  <si>
    <t>7. A sanitarium or infirmary.</t>
  </si>
  <si>
    <t>8. A ceremonial pool, bath, or fountain.</t>
  </si>
  <si>
    <t>9. A morgue or mortuary.</t>
  </si>
  <si>
    <t>10. A crypt for a person of importance (d4): 1. well-known hero; 2. powerful high priest; 3. obscure priest; 4. wealthy noble.</t>
  </si>
  <si>
    <t>11. A room dedicated for specific rituals (d4): 1. conjurations; 2. divinations; 3. funerals; 4. healing miracles.</t>
  </si>
  <si>
    <t>12. A chapel or shrine dedicated to a lesser deity, saint, or martyr.</t>
  </si>
  <si>
    <t>13. A classroom or dormitory.</t>
  </si>
  <si>
    <t>14. A library.</t>
  </si>
  <si>
    <t>15. A priest’s quarters or robing room.</t>
  </si>
  <si>
    <t>16. A banquet room, large dining hall, or small dining room.</t>
  </si>
  <si>
    <t>17. A kitchen or pantry.</t>
  </si>
  <si>
    <t>18. A trophy room or art gallery.</t>
  </si>
  <si>
    <t>19. A stable or kennel.</t>
  </si>
  <si>
    <t>20. A workshop for temple craftsmen.</t>
  </si>
  <si>
    <t>1. A small altar set in an alcove in the wall.</t>
  </si>
  <si>
    <t>2. The sound of bells ringing in a tower.</t>
  </si>
  <si>
    <t>3. A wall sconce holding many candles.</t>
  </si>
  <si>
    <t>4. Tall candles on holders, taller than a man.</t>
  </si>
  <si>
    <t>5. The tinkle of chimes from a nearby room.</t>
  </si>
  <si>
    <t>6. A tapestry depicting a mythological scene.</t>
  </si>
  <si>
    <t>7. A small fountain or reflecting pool.</t>
  </si>
  <si>
    <t>8. The sound of a gong from another room.</t>
  </si>
  <si>
    <t>9. A large holy symbol embedded in the wall.</t>
  </si>
  <si>
    <t>10. A huge book of sacred texts or prayers.</t>
  </si>
  <si>
    <t>11. The scent of incense burning nearby.</t>
  </si>
  <si>
    <t>12. A kneeler beneath a small statue or icon.</t>
  </si>
  <si>
    <t>13. An oil lamp with colored glass panels.</t>
  </si>
  <si>
    <t>14. A mosaic set into the floor of the room.</t>
  </si>
  <si>
    <t>15. A wide fresco or mural depicting a mythological scene.</t>
  </si>
  <si>
    <t>16. The pipes of an immense organ running along the walls.</t>
  </si>
  <si>
    <t>17. Robes and cassocks hanging on hooks.</t>
  </si>
  <si>
    <t>18. An ornamental rug.</t>
  </si>
  <si>
    <t>19. A screen to hide priests from view.</t>
  </si>
  <si>
    <t>20. A statue of a recognizable figure.</t>
  </si>
  <si>
    <t>d6 Encounters: You come upon...</t>
  </si>
  <si>
    <t>1. A young priest or priestess.</t>
  </si>
  <si>
    <t>2. An old priest or priestess.</t>
  </si>
  <si>
    <t>3. A traveler from afar.</t>
  </si>
  <si>
    <t>4. A regular, local worshiper.</t>
  </si>
  <si>
    <t>5. A member of the temple’s serving staff.</t>
  </si>
  <si>
    <t>6. A member of the temple’s guard.</t>
  </si>
  <si>
    <t>Random Outlaw Bands</t>
  </si>
  <si>
    <t>Use these for inspiration or roll them up randomly. Some of the tables could be rolled more than once.</t>
  </si>
  <si>
    <t>d10 The outlaw band’s primary “business” involves...</t>
  </si>
  <si>
    <t>1. Poaching from the sovereign's preserve or a prominent noble’s lands.</t>
  </si>
  <si>
    <t>2. Harboring fugitives.</t>
  </si>
  <si>
    <t>3. Harassing government officials and nobles who pass along the road.</t>
  </si>
  <si>
    <t>4. Robbing caravans carrying gems, precious metals, and exotic goods.</t>
  </si>
  <si>
    <t>5. Holding up incoming or outgoing ships or wagons.</t>
  </si>
  <si>
    <t>6. Smuggling drugs (d4): 1. smokeleaf; 2. hallucinogenic mushrooms; 3. sleepysalt (a downer); 4. sharpsugar (an upper).</t>
  </si>
  <si>
    <t>7. Smuggling rare antiquities.</t>
  </si>
  <si>
    <t>8. Smuggling stolen goods.</t>
  </si>
  <si>
    <t>9. Smuggling living things (d4): 1. exotic beasts; 2. foreign harlots; 3. fugitives; 4. slaves.</t>
  </si>
  <si>
    <t>10. Serving as muscle for shady merchants and/or brothel-keepers.</t>
  </si>
  <si>
    <t>d10 The outlaw band’s colors are...</t>
  </si>
  <si>
    <t>2. Gold.</t>
  </si>
  <si>
    <t>3. Forest green.</t>
  </si>
  <si>
    <t>4. Bronze.</t>
  </si>
  <si>
    <t>5. Tan / khaki.</t>
  </si>
  <si>
    <t>6. Brown / beaver.</t>
  </si>
  <si>
    <t>7. Dark grey / gunmetal.</t>
  </si>
  <si>
    <t>8. Maroon.</t>
  </si>
  <si>
    <t>9. Dark brown / chocolate.</t>
  </si>
  <si>
    <t>10. Olive green.</t>
  </si>
  <si>
    <t>d12 The outlaw band’s symbol is...</t>
  </si>
  <si>
    <t>1. A skull.</t>
  </si>
  <si>
    <t>2. An arrow.</t>
  </si>
  <si>
    <t>3. A dagger.</t>
  </si>
  <si>
    <t>4. A goblet.</t>
  </si>
  <si>
    <t>5. The moon.</t>
  </si>
  <si>
    <t>6. A star.</t>
  </si>
  <si>
    <t>7. A snake.</t>
  </si>
  <si>
    <t>8. A badger.</t>
  </si>
  <si>
    <t>9. A spider.</t>
  </si>
  <si>
    <t>10. A rat.</t>
  </si>
  <si>
    <t>11. A wolf.</t>
  </si>
  <si>
    <t>12. A bear.</t>
  </si>
  <si>
    <t>d12 The outlaw band’s leader is...</t>
  </si>
  <si>
    <t>1. A dangerous megalomaniac.</t>
  </si>
  <si>
    <t>2. A charismatic demagogue.</t>
  </si>
  <si>
    <t>3. A mysterious foreigner.</t>
  </si>
  <si>
    <t>4. A talented thief.</t>
  </si>
  <si>
    <t>5. A member of a prominent family.</t>
  </si>
  <si>
    <t>6. A ruthless killer.</t>
  </si>
  <si>
    <t>7. A femme fatale.</t>
  </si>
  <si>
    <t>8. A charming rogue.</t>
  </si>
  <si>
    <t>9. A dashing swashbuckler.</t>
  </si>
  <si>
    <t>10. A brutish thug.</t>
  </si>
  <si>
    <t>11. A devoted priest.</t>
  </si>
  <si>
    <t>12. A well-known fugitive.</t>
  </si>
  <si>
    <t>d6 The outlaw band’s members are primarily...</t>
  </si>
  <si>
    <t>1. Out-of-work artisans.</t>
  </si>
  <si>
    <t>2. Displaced peasants.</t>
  </si>
  <si>
    <t>3. Desperate peasants.</t>
  </si>
  <si>
    <t>4. Escaped slaves.</t>
  </si>
  <si>
    <t>5. Combat veterans.</t>
  </si>
  <si>
    <t>6. Foreign refugees.</t>
  </si>
  <si>
    <t>d8 The outlaw band’s goals include (leadership and rank-and-file members could have different goals)...</t>
  </si>
  <si>
    <t>1. Domination of the region’s trade.</t>
  </si>
  <si>
    <t>2. Sabotage of the region’s trade.</t>
  </si>
  <si>
    <t>3. Revenge against a rival band of outlaws.</t>
  </si>
  <si>
    <t>4. Revenge against the region’s elite.</t>
  </si>
  <si>
    <t>5. Rebellion against the region’s elite.</t>
  </si>
  <si>
    <t>6. Equality and freedom for all.</t>
  </si>
  <si>
    <t>7. A wealthy and peaceful retirement.</t>
  </si>
  <si>
    <t>8. Violence to slake their bloodlust.</t>
  </si>
  <si>
    <t>d10 Members of the outlaw band typically arm themselves with...</t>
  </si>
  <si>
    <t>1. Wooden clubs.</t>
  </si>
  <si>
    <t>2. Over-sized daggers.</t>
  </si>
  <si>
    <t>3. Shortbows and arrows.</t>
  </si>
  <si>
    <t>4. Longbows and arrows.</t>
  </si>
  <si>
    <t>5. Daggers and crossbows.</t>
  </si>
  <si>
    <t>6. Axes and knives.</t>
  </si>
  <si>
    <t>7. Sticks and stones.</t>
  </si>
  <si>
    <t>8. Shortswords.</t>
  </si>
  <si>
    <t>9. Brass knuckles.</t>
  </si>
  <si>
    <t>10. Daggers and sling shots.</t>
  </si>
  <si>
    <t>d10 The outlaw band’s headquarters is hidden in or near...</t>
  </si>
  <si>
    <t>1. The residence of a prominent noble.</t>
  </si>
  <si>
    <t>2. The village’s market square.</t>
  </si>
  <si>
    <t>3. A wayside inn.</t>
  </si>
  <si>
    <t>4. A tavern.</t>
  </si>
  <si>
    <t>5. A brothel.</t>
  </si>
  <si>
    <t>6. An old lighthouse.</t>
  </si>
  <si>
    <t>7. An abandoned cabin.</t>
  </si>
  <si>
    <t>8. A waterfall.</t>
  </si>
  <si>
    <t>9. A cave.</t>
  </si>
  <si>
    <t>10. A dense forest.</t>
  </si>
  <si>
    <t>d10 The outlaw band is feared or respected by...</t>
  </si>
  <si>
    <t>1. Ambassadors and tax collectors.</t>
  </si>
  <si>
    <t>2. Merchants and peddlers.</t>
  </si>
  <si>
    <t>3. Politicians and magistrates.</t>
  </si>
  <si>
    <t>4. Guards and sheriffs.</t>
  </si>
  <si>
    <t>5. Soldiers and warriors.</t>
  </si>
  <si>
    <t>6. Nobles and wealthy travelers.</t>
  </si>
  <si>
    <t>7. Knights and loyalists.</t>
  </si>
  <si>
    <t>8. Peasants and farmers.</t>
  </si>
  <si>
    <t>9. Priests and sages.</t>
  </si>
  <si>
    <t>10. Women and children.</t>
  </si>
  <si>
    <t>d12 Distinguishing feature for an individual: The outlaw has...</t>
  </si>
  <si>
    <t>1. A flashy earring ring.</t>
  </si>
  <si>
    <t>2. Shiny leather boots.</t>
  </si>
  <si>
    <t>3. A hole in the toe of one boot.</t>
  </si>
  <si>
    <t>4. A dagger in each boot.</t>
  </si>
  <si>
    <t>5. A mask on the face.</t>
  </si>
  <si>
    <t>6. A wide-brimmed hat.</t>
  </si>
  <si>
    <t>7. A dragon tattoo on the forearm.</t>
  </si>
  <si>
    <t>8. A flame tattoo around the arm.</t>
  </si>
  <si>
    <t>9. A maniacal laugh.</t>
  </si>
  <si>
    <t>10. A bent, broken nose.</t>
  </si>
  <si>
    <t>11. An open shirt and a very hairy chest.</t>
  </si>
  <si>
    <t>12. Extravagant mustaches.</t>
  </si>
  <si>
    <t>POACHERS</t>
  </si>
  <si>
    <t>d8. The poachers’ favorite prey includes...</t>
  </si>
  <si>
    <t>1. Bears.</t>
  </si>
  <si>
    <t>2. Birds of prey (d4): 1. eagles; 2. falcons; 3. hawks; 4. owls.</t>
  </si>
  <si>
    <t>3. Boars.</t>
  </si>
  <si>
    <t>4. Deer (d4): 1. elk; 2. harts; 3. moose; 4. stags.</t>
  </si>
  <si>
    <t>5. Exotic beasts (d8): 1. behemoths; 2. elephants; 3. griffons; 4. hippogriffs; 5. lions; 6. owl bears; 7. tigers; 8. wyverns).</t>
  </si>
  <si>
    <t>6. Game birds (d6): 1. doves; 2. grouses; 3. partridges; 4. pheasants; 5. quails; 6. turkeys.</t>
  </si>
  <si>
    <t>7. Waterfowl (d6): 1. ducks; 2. geese; 3. herons; 4. puffins; 5. snipes; 6. swans.</t>
  </si>
  <si>
    <t>8. Small furry beasts (d6): 1. beavers; 2. ermines; 3. otters; 4. raccoons; 5. sables; 6. skunks.</t>
  </si>
  <si>
    <t>9. Small predators (d4): 1. badgers; 2. coyotes; 3. foxes; 4. wolverines.</t>
  </si>
  <si>
    <t>10. Wolves.</t>
  </si>
  <si>
    <t>d6. The poachers’ hunt...</t>
  </si>
  <si>
    <t>1. For sport.</t>
  </si>
  <si>
    <t>2. To feed their families.</t>
  </si>
  <si>
    <t>3. To feed the impoverished peasants.</t>
  </si>
  <si>
    <t>4. To exact revenge on the landowner.</t>
  </si>
  <si>
    <t>5. To sell the beasts’ meat.</t>
  </si>
  <si>
    <t>6. To sell the beasts’ pelts.</t>
  </si>
  <si>
    <t>ROBBERS</t>
  </si>
  <si>
    <t>d6 The robbers typically strike with...</t>
  </si>
  <si>
    <t>1. Swarm tactics.</t>
  </si>
  <si>
    <t>2. Hit-and-run tactics.</t>
  </si>
  <si>
    <t>3. Ambush tactics.</t>
  </si>
  <si>
    <t>4. Choreographed maneuvers.</t>
  </si>
  <si>
    <t>5. Unpredictable maneuvers.</t>
  </si>
  <si>
    <t>6. Lots of fancy footwork.</t>
  </si>
  <si>
    <t>d8 The robbers are notorious for...</t>
  </si>
  <si>
    <t>1. Never leaving survivors.</t>
  </si>
  <si>
    <t>2. Branding captives.</t>
  </si>
  <si>
    <t>3. Scalping captives.</t>
  </si>
  <si>
    <t>4. Burning wagons and ships.</t>
  </si>
  <si>
    <t>5. Using explosives.</t>
  </si>
  <si>
    <t>6. Romantic escapades.</t>
  </si>
  <si>
    <t>7. Singing bawdy songs.</t>
  </si>
  <si>
    <t>8. Drinking too much ale.</t>
  </si>
  <si>
    <t>SMUGGLERS</t>
  </si>
  <si>
    <t>d6 The smuggling ring's primary modus operandi involves...</t>
  </si>
  <si>
    <t>1. Underground tunnels.</t>
  </si>
  <si>
    <t>2. Secret compartments.</t>
  </si>
  <si>
    <t>3. Stealth watercraft.</t>
  </si>
  <si>
    <t>4. Humanoid mules.</t>
  </si>
  <si>
    <t>5. Bribery of officials.</t>
  </si>
  <si>
    <t>6. A network of safehouses.</t>
  </si>
  <si>
    <t>d8 The ring is supported by...</t>
  </si>
  <si>
    <t>1. A prominent merchant.</t>
  </si>
  <si>
    <t>2. An important minister or magistrate.</t>
  </si>
  <si>
    <t>3. A major crime boss.</t>
  </si>
  <si>
    <t>4. A pirate captain.</t>
  </si>
  <si>
    <t>5. An admiral.</t>
  </si>
  <si>
    <t>6. A group of subversives.</t>
  </si>
  <si>
    <t>7. The captain of the guard or a local sheriff.</t>
  </si>
  <si>
    <t>8. The sovereign’s main rival.</t>
  </si>
  <si>
    <t>Random Urban Gangs</t>
  </si>
  <si>
    <t>Use these for inspiration or roll them up randomly, some of the tables could be rolled more than once.</t>
  </si>
  <si>
    <t>d8 The gang's money-making schemes include...</t>
  </si>
  <si>
    <t>1. Distributing drugs (d4): 1. smokeleaf; 2. hallucinogenic mushrooms; 3. sleepysalt (a downer); 4. sharpsugar (an upper).</t>
  </si>
  <si>
    <t>2. Running heists of and/or fencing stolen gems and precious metals.</t>
  </si>
  <si>
    <t>3. Petty theft, burglary, and/or pickpocketing.</t>
  </si>
  <si>
    <t>4. Assassinations that look like accidents or that frame someone else.</t>
  </si>
  <si>
    <t>5. Running brothels (d3): 1. exotic; 2. low; 3. high-class.</t>
  </si>
  <si>
    <t>6. Shaking down legitimate local businesses and/or city officials.</t>
  </si>
  <si>
    <t>7. Serving as muscle for shady merchants and/or brothel-keepers.</t>
  </si>
  <si>
    <t>8. Holding up outgoing ships or wagons.</t>
  </si>
  <si>
    <t>d20 The gang's colors are...</t>
  </si>
  <si>
    <t>18. Steel / blue grey.</t>
  </si>
  <si>
    <t>d20 The gang's symbol is...</t>
  </si>
  <si>
    <t>2. A ghost.</t>
  </si>
  <si>
    <t>3. An open hand.</t>
  </si>
  <si>
    <t>4. A clenched fist.</t>
  </si>
  <si>
    <t>5. An arrow.</t>
  </si>
  <si>
    <t>6. A dagger.</t>
  </si>
  <si>
    <t>7. A sword.</t>
  </si>
  <si>
    <t>8. A hammer.</t>
  </si>
  <si>
    <t>9. A crown.</t>
  </si>
  <si>
    <t>10. A goblet.</t>
  </si>
  <si>
    <t>11. The moon.</t>
  </si>
  <si>
    <t>12. A star.</t>
  </si>
  <si>
    <t>13. A fish.</t>
  </si>
  <si>
    <t>14. A snake.</t>
  </si>
  <si>
    <t>15. A badger.</t>
  </si>
  <si>
    <t>16. A spider.</t>
  </si>
  <si>
    <t>17. A rat.</t>
  </si>
  <si>
    <t>18. A wolf.</t>
  </si>
  <si>
    <t>19. A bear.</t>
  </si>
  <si>
    <t>20. An eagle.</t>
  </si>
  <si>
    <t>d10 Gangmembers often sport matching...</t>
  </si>
  <si>
    <t>1. Shirts.</t>
  </si>
  <si>
    <t>2. Jackets.</t>
  </si>
  <si>
    <t>3. Scarves.</t>
  </si>
  <si>
    <t>4. Vests.</t>
  </si>
  <si>
    <t>5. Bandannas.</t>
  </si>
  <si>
    <t>6. Boots.</t>
  </si>
  <si>
    <t>7. Tattoos.</t>
  </si>
  <si>
    <t>8. Hats.</t>
  </si>
  <si>
    <t>9. Scars.</t>
  </si>
  <si>
    <t>10. Mustaches.</t>
  </si>
  <si>
    <t>d10 The gang's leader is...</t>
  </si>
  <si>
    <t>5. A well-known public figure.</t>
  </si>
  <si>
    <t>d12 For recruitment, the gang targets individuals who are...</t>
  </si>
  <si>
    <t>1. Artisans.</t>
  </si>
  <si>
    <t>2. Relocated peasants.</t>
  </si>
  <si>
    <t>3. Sailors.</t>
  </si>
  <si>
    <t>4. Drunks.</t>
  </si>
  <si>
    <t>5. Beggars.</t>
  </si>
  <si>
    <t>6. Thieves.</t>
  </si>
  <si>
    <t>7. Servants and slaves.</t>
  </si>
  <si>
    <t>8. Combat veterans.</t>
  </si>
  <si>
    <t>9. Laborers.</t>
  </si>
  <si>
    <t>10. Foreigners.</t>
  </si>
  <si>
    <t>11. Young children.</t>
  </si>
  <si>
    <t>12. Circus performers.</t>
  </si>
  <si>
    <t>d6 The gang's goals include (leadership and rank-and-file members could have different goals)...</t>
  </si>
  <si>
    <t>1. Domination of the city's politics.</t>
  </si>
  <si>
    <t>2. Domination of the city's trade.</t>
  </si>
  <si>
    <t>3. Revenge against a rival gang in the same city.</t>
  </si>
  <si>
    <t>4. Revenge against a rival gang in another city.</t>
  </si>
  <si>
    <t>5. Revenge against the city's elite.</t>
  </si>
  <si>
    <t>6. Rebellion against the city's elite.</t>
  </si>
  <si>
    <t>d10 Gangmembers typically arm themselves with...</t>
  </si>
  <si>
    <t>2. Throwing knives.</t>
  </si>
  <si>
    <t>3. Over-sized daggers.</t>
  </si>
  <si>
    <t>4. Serrated daggers.</t>
  </si>
  <si>
    <t>6. Hammers and daggers.</t>
  </si>
  <si>
    <t>10. Bare fists.</t>
  </si>
  <si>
    <t>d10 Gangmembers typically fight with...</t>
  </si>
  <si>
    <t>6. Lots of smiles and jokes.</t>
  </si>
  <si>
    <t>7. Lots of fancy footwork.</t>
  </si>
  <si>
    <t>8. Lots of screaming and shouting.</t>
  </si>
  <si>
    <t>9. Kicking and stomping.</t>
  </si>
  <si>
    <t>10. Lots of head-butting.</t>
  </si>
  <si>
    <t>d12 The gang's headquarters is hidden in or near...</t>
  </si>
  <si>
    <t>1. The residence of the leader or a senior gangmember.</t>
  </si>
  <si>
    <t>2. An artisan's shop or guildhall.</t>
  </si>
  <si>
    <t>3. A merchant's office.</t>
  </si>
  <si>
    <t>6. A warehouse or shipyard.</t>
  </si>
  <si>
    <t>7. A temple complex.</t>
  </si>
  <si>
    <t>8. The city's sewers.</t>
  </si>
  <si>
    <t>9. The town hall.</t>
  </si>
  <si>
    <t>10. An abandoned guildhall or warehouse.</t>
  </si>
  <si>
    <t>11. A shantytown</t>
  </si>
  <si>
    <t>12. The residence of a wealthy individual.</t>
  </si>
  <si>
    <t>d12 The gang is feared or respected by...</t>
  </si>
  <si>
    <t>1. Fishermen and sailors.</t>
  </si>
  <si>
    <t>2. Beggars and thieves.</t>
  </si>
  <si>
    <t>3. Merchants and moneychangers.</t>
  </si>
  <si>
    <t>4. Jewelers and gemcutters.</t>
  </si>
  <si>
    <t>5. Politicians and magistrates.</t>
  </si>
  <si>
    <t>6. Guards and sheriffs.</t>
  </si>
  <si>
    <t>7. Soldiers and warriors.</t>
  </si>
  <si>
    <t>8. Gladiators and pugilists.</t>
  </si>
  <si>
    <t>9. Peasants and farmers.</t>
  </si>
  <si>
    <t>10. Servants and slaves.</t>
  </si>
  <si>
    <t>11. Priests and sages.</t>
  </si>
  <si>
    <t>12. Women and children.</t>
  </si>
  <si>
    <t>d12 Distinguishing feature for an individual: The gangmember has...</t>
  </si>
  <si>
    <t>1. A nose ring.</t>
  </si>
  <si>
    <t>5. A heavy gold chain around the neck.</t>
  </si>
  <si>
    <t>7. A dagger tattoo on the forearm.</t>
  </si>
  <si>
    <t>8. A snake tattoo around the arm.</t>
  </si>
  <si>
    <t>10. A long, hooked nose.</t>
  </si>
  <si>
    <t>You see nearby:</t>
  </si>
  <si>
    <t>D20 Dungeon</t>
  </si>
  <si>
    <t>1. A rat scuttles past carrying a finger bone with a ring on it.</t>
  </si>
  <si>
    <t>2. You hear a card game going on in the next room. It sounds like someone is losing their shirt.</t>
  </si>
  <si>
    <t>3. A sleepy orc pushes the party to one side and says "otta ma way cur. Yer blocking the way to the mess hall."</t>
  </si>
  <si>
    <t>4. A voice shouts from ahead "My god! What did you do to the loo?"</t>
  </si>
  <si>
    <t>5. Blood drips from a hole in the ceiling and pools on the floor.</t>
  </si>
  <si>
    <t>6. Your hear the sound of a whip crack from up ahead.</t>
  </si>
  <si>
    <t>7. You find a room of corpses. One has a hand outstretched towards a glowing gem. A second has stabbed the first in the back with a dagger.</t>
  </si>
  <si>
    <t>8. A paper boat floats past on an underground stream. If plucked from the water is has a letter written inside.</t>
  </si>
  <si>
    <t>9. A prisoner in a cage sees the party and yells "turn back! Runaway!"</t>
  </si>
  <si>
    <t>10. Cave paintings cover one of the walls, obviously the work of bored hands.</t>
  </si>
  <si>
    <t>11. A side corridor has an active trap and deadly trap. A broken treasure chest at the far end spills a few coins.</t>
  </si>
  <si>
    <t>12. A grate in the wall allows you to see a mimic finish consuming an adventurer and scuttle off.</t>
  </si>
  <si>
    <t>13. Wind howls mournfully as you cross a rope bridge strewn with arrow riddled adventurers.</t>
  </si>
  <si>
    <t>14. A hunchbacked orc with his back to you tinkers with something in the wall and complains loudly about always being the one who has to reset the traps.</t>
  </si>
  <si>
    <t>15. A large man sits near a pile of treasure reading a book. If approached he changes into a wisp of smoke and retreats to a lamp. Any amount of rubbing on the lamp produces only "Go away! We're closed!"</t>
  </si>
  <si>
    <t>16. A displacer beast and blink dog come thrashing through a cross corridor.</t>
  </si>
  <si>
    <t>17. A dead man's ghost continues searching for a key to a door. A long dead rouge lies nearby.</t>
  </si>
  <si>
    <t>18. A grouchy dragon stomps around a vast cave shouting "Igor! Where's the ledger listing my gold coins?!"</t>
  </si>
  <si>
    <t>19. A dusty side corridor holds a tiny, rough made shrine to an unlikely god, and a dusty body with it's hands still clasped in prayer.</t>
  </si>
  <si>
    <t>20. A hole broken in the brick walls leads to a very, very dark tunnel.</t>
  </si>
  <si>
    <t>D20 Idyllic Village</t>
  </si>
  <si>
    <t>1. A farmer and his son walk past on the road. The man is teaching his son a song.</t>
  </si>
  <si>
    <t>2. A wood cutter pauses his chopping to wave at you as you pass.</t>
  </si>
  <si>
    <t>3. A milkman struggles past pulling a horse cart. If questioned he mentions that his horse has taken ill but he's managing.</t>
  </si>
  <si>
    <t>4. A farm wife sets a pie on a windowsill to cool while you walk by.</t>
  </si>
  <si>
    <t>5. A gaggle of children discuss plans to nick a pie from a windowsill.</t>
  </si>
  <si>
    <t>6. A butcher haggles cheerfully with a farmer over the price of a fat cow.</t>
  </si>
  <si>
    <t>7. A group of women take turns sharing gossip and hoisting buckets from the town well.</t>
  </si>
  <si>
    <t>8. A celebration is taking place on the town green for two young people, recently married.</t>
  </si>
  <si>
    <t>9. A farmer is having a yard sale and has piled a small mountain of junk outside his home.</t>
  </si>
  <si>
    <t>10. A healthy looking dog runs past with a laughing boy in pursuit.</t>
  </si>
  <si>
    <t>11. A farm wife watches playing children through an open window.</t>
  </si>
  <si>
    <t>12. A man is helping a peddler fix his broken down wagon on the roadside.</t>
  </si>
  <si>
    <t>13. A smith pounds furiously on his anvil but stops to smile when his wife brings him some water.</t>
  </si>
  <si>
    <t>14. A group of old men with long beards sit on a stoop smoking pipes.</t>
  </si>
  <si>
    <t>15. A baker is returning home from making his rounds delivering bread.</t>
  </si>
  <si>
    <t>16. The town priest stands outside his church greeting people as they arrive for the service. He invites the PCs to attend.</t>
  </si>
  <si>
    <t>17. A group of men is mending a broken fence.</t>
  </si>
  <si>
    <t>18. A fisherman walks past carrying tackle on his way down to the lake.</t>
  </si>
  <si>
    <t>19. A peddler is selling simple wares to the villagers from his wagon on the town green.</t>
  </si>
  <si>
    <t>20. A group of dwarves with brightly colored hoods puff pipes on the inn porch and watch the sun set.</t>
  </si>
  <si>
    <t>D20 Rotting City</t>
  </si>
  <si>
    <t>1. A group of dogs chewing on fallen guardsmen after a street battle.</t>
  </si>
  <si>
    <t>2. A giant spider, seen out of the corner of your eye, pulls a struggling something back into a dark alley.</t>
  </si>
  <si>
    <t>3. A group of beggars in rags huddle together for warmth against the chill of the winter morning.</t>
  </si>
  <si>
    <t>4. A man and a women, speaking to a stone carver about what to put on their child's headstone.</t>
  </si>
  <si>
    <t>5. A burned out drug den with charred corpses outside and city guards keeping gawkers away.</t>
  </si>
  <si>
    <t>6. A man doling out rations inside a besieged city. Only those able to fight still get full portions.</t>
  </si>
  <si>
    <t>7. A carriage passing through a rutted street with armed guards and a dangerous looking wizard riding shotgun.</t>
  </si>
  <si>
    <t>8. A tailor trying hopelessly to impress a noble women with a variety of dresses, all of which she scoffs at.</t>
  </si>
  <si>
    <t>9. A gang of ruffians scoping out potential victims. They give you a nod of acknowledgement, one predator to another.</t>
  </si>
  <si>
    <t>10. A strumpet with a face like a racoon checks you out, then resignedly starts walking towards your party while putting on a fake smile.</t>
  </si>
  <si>
    <t>11. A group of guards escorts a morose prisoner to the gallows.</t>
  </si>
  <si>
    <t>12. A group of crows flies away from several bodies hanging at the gallows when people approach.</t>
  </si>
  <si>
    <t>13. A group of elves pass the party, holding handkerchiefs to their noses.</t>
  </si>
  <si>
    <t>14. A leper approaches the party and starts begging for alms.</t>
  </si>
  <si>
    <t>15. The king's guard execute a man in the street for a petty crime.</t>
  </si>
  <si>
    <t>16. A passing wagon hits a puddle and sprays the party with vile mud.</t>
  </si>
  <si>
    <t>17. A carriage tramples a club footed beggar who was too slow to move out of the way.</t>
  </si>
  <si>
    <t>18. A loan shark approaches the party to make an offer.</t>
  </si>
  <si>
    <t>19. A thick fog rolls in covering the city in damp mist.</t>
  </si>
  <si>
    <t>20. A church bell sounds mournfully, it's ring swallowed up by the fog.</t>
  </si>
  <si>
    <t>D20 Ancient Forest</t>
  </si>
  <si>
    <t>1. The song of a mocking bird changes mid-tune to an ominous imitation.</t>
  </si>
  <si>
    <t>2. Elves follow you from a distance but never approach.</t>
  </si>
  <si>
    <t>3. A green dragon flies overhead.</t>
  </si>
  <si>
    <t>4. An ancient tree whispers softly to you as you pass.</t>
  </si>
  <si>
    <t>5. A break in the tree cover lets down a welcome ray of sunshine.</t>
  </si>
  <si>
    <t>6. Wolves howl in the distance.</t>
  </si>
  <si>
    <t>7. This part of the forest is gray and quiet. You notice a low fog has come in and the sounds of birds have stopped.</t>
  </si>
  <si>
    <t>8. A giant dead tree has fallen and blocked the road.</t>
  </si>
  <si>
    <t>9. A deer bounds across the road with a puma in close pursuit.</t>
  </si>
  <si>
    <t>10. You've heard tales about a devil living in these woods. You keep seeing movement from the corner of your eye.</t>
  </si>
  <si>
    <t>11. A druid sits on a stone speaking to the birds.</t>
  </si>
  <si>
    <t>12. A great shaggy wolfhound approaches the party. He asks if you are lost.</t>
  </si>
  <si>
    <t>13. The underbrush tappers off and there is nothing left but the trunks of trees and impenetrable leaves overhead.</t>
  </si>
  <si>
    <t>14. A ground bird is building a nest nearby. A colorful piece of cloth flutters among the twigs.</t>
  </si>
  <si>
    <t>15. An ancient shrine looms around a corner in the path. It's long abandoned, but the workmanship was once fine.</t>
  </si>
  <si>
    <t>16. A camped group of travelers in the distance notice the players approach, grab what gear they can and hide.</t>
  </si>
  <si>
    <t>17. A wolverine feeds on the corpse of a fallen traveler and his horse. It growls if you get too close.</t>
  </si>
  <si>
    <t>18. A courier wearing the king's livery pauses at the edge of the forest, gathers his courage, and enters down the path.</t>
  </si>
  <si>
    <t>19. An undertaker lives in a cottage near the entrance to the forest. He makes a point of measuring the players before they depart. He's only concerned with their height from the neck down.</t>
  </si>
  <si>
    <t>20. The party hears the sounds of a chase in the brush at night. Later, a werewolf approaches the party and demands to know if they have seen the "would-be hunter" pass this way.</t>
  </si>
  <si>
    <t>D20 Aboard a ship at sea</t>
  </si>
  <si>
    <t>1. The dolphins riding the bow waves squeak suddenly and flee.</t>
  </si>
  <si>
    <t>2. A red dawn spooks the sailors.</t>
  </si>
  <si>
    <t>3. A crossing the equator ceremony. The PCs are 'inducted' into Neptune's court.</t>
  </si>
  <si>
    <t>4. A women stares mournfully at the sea. She seems an unlikely passenger.</t>
  </si>
  <si>
    <t>5. A sailor off duty has a fishing rod cast over the side and a pail of fish beside him.</t>
  </si>
  <si>
    <t>6. The captain unexpectedly approaches the PCs and demands to know what they are doing in this part of the ship.</t>
  </si>
  <si>
    <t>7. The wooden creaking of the hulls sounds ominous to the land lubbers.</t>
  </si>
  <si>
    <t>8. A howling storm can be seen in the distance.</t>
  </si>
  <si>
    <t>9. The Captain stares with steely eyes into a spyglass then turns to his men with a look of grim resolve.</t>
  </si>
  <si>
    <t>10. The masts of another ship are visible in the distance.</t>
  </si>
  <si>
    <t>11. Flotsam from a wreck is seen in the distance. Men cling to bits and pieces. The captain explains there is a reef there, and refuses to approach.</t>
  </si>
  <si>
    <t>12. An imperial courier approaches the ship in port, and the captain regrets to inform his passengers there has been a change in destination.</t>
  </si>
  <si>
    <t>13. Pirates approach and greet the Captain as an old friend.</t>
  </si>
  <si>
    <t>14. The sun rises bright and clear, and the winds pick up, a good omen for the day.</t>
  </si>
  <si>
    <t>15. Land birds are sighted in the distance where there should be none.</t>
  </si>
  <si>
    <t>16. At the next stop in port the sailors sing a batch of work songs the bards has never heard before.</t>
  </si>
  <si>
    <t>17. A storm is sighted coming this way. The Captain sends his first make down to below to "make sure the cargo doesn't escape."</t>
  </si>
  <si>
    <t>18. A group of sailors is being flogged at the mast for breaking into the wine supplies.</t>
  </si>
  <si>
    <t>19. A group of sailors is being flogged at the mast for something the party rouge actually stole.</t>
  </si>
  <si>
    <t>20. Someone in the party overhears whispers of mutiny.</t>
  </si>
  <si>
    <t>Random Watchmen</t>
  </si>
  <si>
    <t>d12 The watch’s colors are...</t>
  </si>
  <si>
    <t>6. Silver / light grey.</t>
  </si>
  <si>
    <t>7. Brown / beaver.</t>
  </si>
  <si>
    <t>8. White.</t>
  </si>
  <si>
    <t>9. Maroon.</t>
  </si>
  <si>
    <t>10. Sky blue.</t>
  </si>
  <si>
    <t>11. Navy blue.</t>
  </si>
  <si>
    <t>12. Dark brown / chocolate.</t>
  </si>
  <si>
    <t>d12 The watch’s symbol is...</t>
  </si>
  <si>
    <t>1. A flame.</t>
  </si>
  <si>
    <t>2. A gauntlet.</t>
  </si>
  <si>
    <t>3. A shield.</t>
  </si>
  <si>
    <t>4. A sword.</t>
  </si>
  <si>
    <t>5. The sun.</t>
  </si>
  <si>
    <t>6. An eye.</t>
  </si>
  <si>
    <t>7. An eagle.</t>
  </si>
  <si>
    <t>8. An owl.</t>
  </si>
  <si>
    <t>9. A dragon.</t>
  </si>
  <si>
    <t>10. A lion.</t>
  </si>
  <si>
    <t>11. A raven.</t>
  </si>
  <si>
    <t>12. A wolf.</t>
  </si>
  <si>
    <t>d12 The watch’s captain is...</t>
  </si>
  <si>
    <t>1. A religious zealot.</t>
  </si>
  <si>
    <t>2. A scion from a prominent family.</t>
  </si>
  <si>
    <t>3. An outcast from a prominent family.</t>
  </si>
  <si>
    <t>4. A dashing swashbuckler.</t>
  </si>
  <si>
    <t>5. A brutish thug.</t>
  </si>
  <si>
    <t>7. An anointed knight.</t>
  </si>
  <si>
    <t>8. A career soldier.</t>
  </si>
  <si>
    <t>9. A grizzled veteran.</t>
  </si>
  <si>
    <t>10. An adept investigator.</t>
  </si>
  <si>
    <t>11. An erudite detective.</t>
  </si>
  <si>
    <t>12. A devoted public servant.</t>
  </si>
  <si>
    <t>d6 The watch’s attitude toward their captain is...</t>
  </si>
  <si>
    <t>1. Friendly and loyal.</t>
  </si>
  <si>
    <t>2. Respectful and business-like.</t>
  </si>
  <si>
    <t>3. Completely indifferent.</t>
  </si>
  <si>
    <t>4. Cautious and uncertain.</t>
  </si>
  <si>
    <t>5. Terrified and tight-lipped.</t>
  </si>
  <si>
    <t>6. Disappointed and disrespectful.</t>
  </si>
  <si>
    <t>d10 The watch has a reputation for...</t>
  </si>
  <si>
    <t>1. High morals.</t>
  </si>
  <si>
    <t>2. Efficiency.</t>
  </si>
  <si>
    <t>3. Reliability.</t>
  </si>
  <si>
    <t>4. Brutality.</t>
  </si>
  <si>
    <t>5. Taking bribes.</t>
  </si>
  <si>
    <t>6. Shaking down shopkeepers and artisans.</t>
  </si>
  <si>
    <t>7. Frequenting brothels.</t>
  </si>
  <si>
    <t>8. Cowardice.</t>
  </si>
  <si>
    <t>9. Incompetence.</t>
  </si>
  <si>
    <t>10. Intoxication.</t>
  </si>
  <si>
    <t>d6 Most members of the watch are outfitted with...</t>
  </si>
  <si>
    <t>1. Rough-spun wool cloaks.</t>
  </si>
  <si>
    <t>2. Whatever armor they can find.</t>
  </si>
  <si>
    <t>3. Leather armor marked with the symbol of the watch.</t>
  </si>
  <si>
    <t>4. Leather armor marked with the symbol of their city or lord.</t>
  </si>
  <si>
    <t>5. Helms and breastplates emblazoned with the symbol of their city or lord.</t>
  </si>
  <si>
    <t>6. Well-maintained chainmail.</t>
  </si>
  <si>
    <t>d10 Most members of the watch are equipped with...</t>
  </si>
  <si>
    <t>1. Longswords and shortbows.</t>
  </si>
  <si>
    <t>2. Longswords and crossbows.</t>
  </si>
  <si>
    <t>3. Longswords and shields.</t>
  </si>
  <si>
    <t>4. Shortswords and shields.</t>
  </si>
  <si>
    <t>5. Maces and crossbows. ¬¬</t>
  </si>
  <si>
    <t>6. Maces and shields.</t>
  </si>
  <si>
    <t>7. Maces and daggers.</t>
  </si>
  <si>
    <t>8. Pikes and shortswords.</t>
  </si>
  <si>
    <t>9. Halberds and daggers.</t>
  </si>
  <si>
    <t>10. Halberds and crossbows.</t>
  </si>
  <si>
    <t>INDIVIDUAL INVESTIGATORS</t>
  </si>
  <si>
    <t>d10 The constable is...</t>
  </si>
  <si>
    <t>1. A priest or monk.</t>
  </si>
  <si>
    <t>2. A stoic monk.</t>
  </si>
  <si>
    <t>3. A former soldier.</t>
  </si>
  <si>
    <t>4. A mysterious foreigner.</t>
  </si>
  <si>
    <t>5. A pompous windbag.</t>
  </si>
  <si>
    <t>6. An accomplished scholar.</t>
  </si>
  <si>
    <t>7. A violent drunk.</t>
  </si>
  <si>
    <t>8. A criminal lackey.</t>
  </si>
  <si>
    <t>9. A popular tavern patron.</t>
  </si>
  <si>
    <t>10. Ruggedly handsome.</t>
  </si>
  <si>
    <t>d6 The constable works for...</t>
  </si>
  <si>
    <t>2. A chance to bring evil-doers to justice.</t>
  </si>
  <si>
    <t>3. Gold to repay debts.</t>
  </si>
  <si>
    <t>4. Gold to support his addiction (d4): 1. drinking; 2. gambling; 3. harlots; 4. smoking.</t>
  </si>
  <si>
    <t>5. The joy of solving mysteries.</t>
  </si>
  <si>
    <t>6. A chance for vengeance.</t>
  </si>
  <si>
    <t>d12 On the constable’s face is...</t>
  </si>
  <si>
    <t>1. A scar from a burn.</t>
  </si>
  <si>
    <t>2. A jagged scar.</t>
  </si>
  <si>
    <t>3. A hard-set jaw.</t>
  </si>
  <si>
    <t>4. A friendly grin.</t>
  </si>
  <si>
    <t>5. A faraway look.</t>
  </si>
  <si>
    <t>6. A furrowed brow.</t>
  </si>
  <si>
    <t>7. A pair of piercing eyes.</t>
  </si>
  <si>
    <t>8. A broken nose.</t>
  </si>
  <si>
    <t>9. Bushy eyebrows.</t>
  </si>
  <si>
    <t>10. Unshaven stubble.</t>
  </si>
  <si>
    <t>11. A neatly-trimmed beard.</t>
  </si>
  <si>
    <t>12. An intimidating mustache.</t>
  </si>
  <si>
    <t>d10 The constable carries...</t>
  </si>
  <si>
    <t>1. A magnifying lens.</t>
  </si>
  <si>
    <t>2. A blade with a carved hilt (d6): 1. ivory; 2. jade; 3. soapstone; 4. ebony; 5. mahogany; 6. oak.</t>
  </si>
  <si>
    <t>3. A blade with beasts sculpted into the steel of the guard (d6): 1. dragons; 2. lions; 3. scorpions; 4. snakes; 5. spiders; 6. wolves.</t>
  </si>
  <si>
    <t>4. A blade made of blackened steel.</t>
  </si>
  <si>
    <t>5. An unusual hat.</t>
  </si>
  <si>
    <t>6. A clue from an unsolved crime.</t>
  </si>
  <si>
    <t>7. A token from a lost love.</t>
  </si>
  <si>
    <t>8. Props for several disguises.</t>
  </si>
  <si>
    <t>9. Alchemical reference manual.</t>
  </si>
  <si>
    <t>10. A pocket-sized almanac.</t>
  </si>
  <si>
    <t>INDIVIDUAL GUARDS</t>
  </si>
  <si>
    <t>d10 The guard is...</t>
  </si>
  <si>
    <t>1. A farm boy.</t>
  </si>
  <si>
    <t>2. The son of a miner or fisherman.</t>
  </si>
  <si>
    <t>3. A veteran of warfare.</t>
  </si>
  <si>
    <t>4. A foreigner.</t>
  </si>
  <si>
    <t>5. The son of a poor man.</t>
  </si>
  <si>
    <t>6. A drunk.</t>
  </si>
  <si>
    <t>7. A reformed criminal.</t>
  </si>
  <si>
    <t>8. A thug.</t>
  </si>
  <si>
    <t>9. A failed craftsman.</t>
  </si>
  <si>
    <t>10. A favorite among the ladies.</t>
  </si>
  <si>
    <t>d6 The guard works for...</t>
  </si>
  <si>
    <t>2. A chance to deal out sadistic punishment.</t>
  </si>
  <si>
    <t>4. Gold to aid a family member.</t>
  </si>
  <si>
    <t>5. A chance to escape from life imprisonment.</t>
  </si>
  <si>
    <t>6. Patriotic devotion.</t>
  </si>
  <si>
    <t>d12 On the guard’s face is...</t>
  </si>
  <si>
    <t>1. A large wart.</t>
  </si>
  <si>
    <t>2. An unsightly scar.</t>
  </si>
  <si>
    <t>3. A look of determination.</t>
  </si>
  <si>
    <t>4. A foolish grin.</t>
  </si>
  <si>
    <t>5. A stupid stare.</t>
  </si>
  <si>
    <t>6. A look of confusion.</t>
  </si>
  <si>
    <t>7. A bulbous nose.</t>
  </si>
  <si>
    <t>8. Bushy eyebrows.</t>
  </si>
  <si>
    <t>9. Fearsome sideburns.</t>
  </si>
  <si>
    <t>10. An unruly beard.</t>
  </si>
  <si>
    <t>11. A neatly-trimmed mustache.</t>
  </si>
  <si>
    <t>12. A waxed mustache.</t>
  </si>
  <si>
    <t>d10 The guard carries...</t>
  </si>
  <si>
    <t>1. A blade with soft leather tassels dangling from the pommel.</t>
  </si>
  <si>
    <t>2. A blade with an inscription.</t>
  </si>
  <si>
    <t>3. A highly polished blade.</t>
  </si>
  <si>
    <t>4. A token from a favorite harlot.</t>
  </si>
  <si>
    <t>5. A trophy from a criminal.</t>
  </si>
  <si>
    <t>6. A ribbon from a noble maiden.</t>
  </si>
  <si>
    <t>7. A silk handkerchief.</t>
  </si>
  <si>
    <t>8. A flask of wine.</t>
  </si>
  <si>
    <t>9. A lucky charm (d4): 1. rabbit’s foot; 2. old coin; 3. shiny coin; 4. four-leaf clover.</t>
  </si>
  <si>
    <t>10. A grocery list.</t>
  </si>
  <si>
    <t>Random Prisons: But, I swear, I'm innocent!...</t>
  </si>
  <si>
    <t>d12 The prison is located...</t>
  </si>
  <si>
    <t>1. On a small island on a remote coast.</t>
  </si>
  <si>
    <t>2. On a small island near a city.</t>
  </si>
  <si>
    <t>3. In a tower of a castle.</t>
  </si>
  <si>
    <t>4. Beneath a temple complex.</t>
  </si>
  <si>
    <t>5. In an annex on a temple complex.</t>
  </si>
  <si>
    <t>6. Beneath a town hall.</t>
  </si>
  <si>
    <t>7. In an annex on a town hall.</t>
  </si>
  <si>
    <t>8. Underneath a city, deep below ground.</t>
  </si>
  <si>
    <t>9. Behind walls in a fortified rural location (d4): 1. coastland; 2. farmland; 3. mining country; 4. ranchland.</t>
  </si>
  <si>
    <t>10. Below ground, in a hidden rural location (d4): 1. coastland; 2. farmland; 3. mining country; 4. ranchland.</t>
  </si>
  <si>
    <t>11. Behind walls in a fortified wilerness location (d6): 1. desert, 2. forest, 3. hills; 4. mountains, 5. swamp; 6. tundra.</t>
  </si>
  <si>
    <t>12. Below ground, in a hidden wilderness location (d6): 1. desert, 2. forest, 3. hills; 4. mountains, 5. swamp; 6. tundra.</t>
  </si>
  <si>
    <t>d8 The prison was built by...</t>
  </si>
  <si>
    <t>4. A civic committee.</t>
  </si>
  <si>
    <t>5. A popular mayor or sheriff.</t>
  </si>
  <si>
    <t>6. An unscrupulous king or queen.</t>
  </si>
  <si>
    <t>7. A prosperous merchant guild.</t>
  </si>
  <si>
    <t>8. A powerful noble house.</t>
  </si>
  <si>
    <t>d6 The prison complex is...</t>
  </si>
  <si>
    <t>3. Organized into small, neat rows of cells or pits.</t>
  </si>
  <si>
    <t>4. Organized around a large central cell block or pit.</t>
  </si>
  <si>
    <t>5. An endless series of long corridors.</t>
  </si>
  <si>
    <t>6. A series of corridors with very low ceilings.</t>
  </si>
  <si>
    <t>d6 The prison is surrounded by...</t>
  </si>
  <si>
    <t>3. A curtain wall with many gatehouses.</t>
  </si>
  <si>
    <t>4. A moat filled with putrescent water.</t>
  </si>
  <si>
    <t>5. A moat filled with thick, boot-sucking mud.</t>
  </si>
  <si>
    <t>6. A moat filled with sharp spikes.</t>
  </si>
  <si>
    <t>2. Individual cells, but they can see and hear other prisoners.</t>
  </si>
  <si>
    <t>3. Individual cells, but they can hear other prisoners.</t>
  </si>
  <si>
    <t>4. Cells that accommodate up to two prisoners.</t>
  </si>
  <si>
    <t>5. Cells that accommodate up to two prisoners, each shackled to the wall.</t>
  </si>
  <si>
    <t>6. Cells that accommodate up to four prisoners.</t>
  </si>
  <si>
    <t>7. Cells that accommodate up to four prisoners, each shackled to the wall.</t>
  </si>
  <si>
    <t>8. A large chamber with many other prisoners, each shackled to the wall.</t>
  </si>
  <si>
    <t>10. One or more huge pit with many other prisoners.</t>
  </si>
  <si>
    <t>2. Aging, but sturdy; the walls have some cracks.</t>
  </si>
  <si>
    <t>1. Humanely; they receive reasonable meals, some exercise, and healing when needed.</t>
  </si>
  <si>
    <t>2. Like dogs; they receive poor quality meals and enough healing to keep them alive.</t>
  </si>
  <si>
    <t>3. Like rats; they receive terrible meals and are plagued by sickness.</t>
  </si>
  <si>
    <t>4. Like they don’t exist; occasionally they receive food.</t>
  </si>
  <si>
    <t>1. A prison cell.</t>
  </si>
  <si>
    <t>2. Another prison cell.</t>
  </si>
  <si>
    <t>8. A dining hall.</t>
  </si>
  <si>
    <t>d10 The prison is known for...</t>
  </si>
  <si>
    <t>1. A snoozing guard.</t>
  </si>
  <si>
    <t>3. A quartet of guards playing cards or dice on their break.</t>
  </si>
  <si>
    <t>4. A pack of trained hunting dogs commanded by a high-ranking guard who has been alerted of the escape attempt.</t>
  </si>
  <si>
    <t>5. A law official on-site to interrogate another prisoner about an unrelated case.</t>
  </si>
  <si>
    <t>6. An ear-splitting alarm triggers.</t>
  </si>
  <si>
    <t>7. A wide, well-lit yard that must be crossed with guards watching it from towers.</t>
  </si>
  <si>
    <t>10. The rat-infested kitchens and mess hall.</t>
  </si>
  <si>
    <t>11. An imprisoned serial killer who also attempting to escape.</t>
  </si>
  <si>
    <t>d8 According to rumor, within the prison’s walls lies...</t>
  </si>
  <si>
    <t>2. The bones of a celebrated outlaw.</t>
  </si>
  <si>
    <t>6. A treasure stolen by a notorious prisoner.</t>
  </si>
  <si>
    <t>d8 The jailer is...</t>
  </si>
  <si>
    <t>3. A bastard son of a noble house.</t>
  </si>
  <si>
    <t>4. A man who grew up among criminals.</t>
  </si>
  <si>
    <t>5. A priest with a puritanical agenda.</t>
  </si>
  <si>
    <t>6. A horrible sadist.</t>
  </si>
  <si>
    <t>7. A mild-mannered man of faith.</t>
  </si>
  <si>
    <t>8. A wicked little man.</t>
  </si>
  <si>
    <t>d4 The guard took this job for...</t>
  </si>
  <si>
    <t>3. To prove how tough he is.</t>
  </si>
  <si>
    <t>4. To take out his aggression on criminals.</t>
  </si>
  <si>
    <t>d4 On the guard’s face is...</t>
  </si>
  <si>
    <t>2. A stupid grin.</t>
  </si>
  <si>
    <t>3. A blank stare.</t>
  </si>
  <si>
    <t>4. A bushy mustache.</t>
  </si>
  <si>
    <t>4. He advocated rebellion and unrest.</t>
  </si>
  <si>
    <t>Random Assassins' Guilds</t>
  </si>
  <si>
    <t>d12 The guild’s symbol is...</t>
  </si>
  <si>
    <t>2. An eye.</t>
  </si>
  <si>
    <t>3. A flame.</t>
  </si>
  <si>
    <t>4. A dagger.</t>
  </si>
  <si>
    <t>5. A scythe.</t>
  </si>
  <si>
    <t>6. An arrow.</t>
  </si>
  <si>
    <t>7. A fish.</t>
  </si>
  <si>
    <t>8. A crow.</t>
  </si>
  <si>
    <t>9. A rat.</t>
  </si>
  <si>
    <t>10. A scorpion.</t>
  </si>
  <si>
    <t>11. A spider.</t>
  </si>
  <si>
    <t>12. A snake.</t>
  </si>
  <si>
    <t>d20 The guild’s preferred method of execution is...</t>
  </si>
  <si>
    <t>1. Ingested poison or allergic reaction.</t>
  </si>
  <si>
    <t>2. Exposure to deadly (but not highly contagious) disease.</t>
  </si>
  <si>
    <t>3. Contact poison applied to a weapon.</t>
  </si>
  <si>
    <t>4. Arrow/bolt from range.</t>
  </si>
  <si>
    <t>5. Knife in the chest or back.</t>
  </si>
  <si>
    <t>6. Multiple stab wounds.</t>
  </si>
  <si>
    <t>7. Slitting throats.</t>
  </si>
  <si>
    <t>8. Gutting or eviscerating.</t>
  </si>
  <si>
    <t>9. Flaying or scalping.</t>
  </si>
  <si>
    <t>10. Beheading.</t>
  </si>
  <si>
    <t>11. Strangulation.</t>
  </si>
  <si>
    <t>12. Hanging.</t>
  </si>
  <si>
    <t>13. Burying alive.</t>
  </si>
  <si>
    <t>14. Drowning.</t>
  </si>
  <si>
    <t>15. Boiling alive.</t>
  </si>
  <si>
    <t>16. Throwing off a roof.</t>
  </si>
  <si>
    <t>17. Acid (pouring or submersion).</t>
  </si>
  <si>
    <t>18. Fiery explosion.</t>
  </si>
  <si>
    <t>19. Burning alive.</t>
  </si>
  <si>
    <t>20. Feeding to animals.</t>
  </si>
  <si>
    <t>d12 Guildmembers typically arm themselves with...</t>
  </si>
  <si>
    <t>1. Poisoned daggers and shortswords.</t>
  </si>
  <si>
    <t>7. Bows and arrows.</t>
  </si>
  <si>
    <t>8. Shortswords and crossbows.</t>
  </si>
  <si>
    <t>9. Sickles and scythes.</t>
  </si>
  <si>
    <t>10. Garrotes and daggers.</t>
  </si>
  <si>
    <t>11. Exotic blades and blowguns.</t>
  </si>
  <si>
    <t>12. Bolas and poisoned projectiles.</t>
  </si>
  <si>
    <t>d6 Guildmembers typically operate...</t>
  </si>
  <si>
    <t>1. Alone.</t>
  </si>
  <si>
    <t>2. In pairs.</t>
  </si>
  <si>
    <t>3. In small groups.</t>
  </si>
  <si>
    <t>4. By infiltrating an organization.</t>
  </si>
  <si>
    <t>5. By impersonating a specific individual.</t>
  </si>
  <si>
    <t>6. In plain sight.</t>
  </si>
  <si>
    <t>d6 Guildmembers typically know...</t>
  </si>
  <si>
    <t>1. Very few other guildmembers.</t>
  </si>
  <si>
    <t>2. Several other guildmembers.</t>
  </si>
  <si>
    <t>3. The details of the guild’s organization.</t>
  </si>
  <si>
    <t>4. Nothing about the guild’s leadership.</t>
  </si>
  <si>
    <t>5. The names of the guild’s leaders, though they’ve never met any of them.</t>
  </si>
  <si>
    <t>6. One of the guild’s leading members and no other guildmembers.</t>
  </si>
  <si>
    <t>d12 The guild’s leader is...</t>
  </si>
  <si>
    <t>11. A religious fanatic.</t>
  </si>
  <si>
    <t>12. A veteran soldier.</t>
  </si>
  <si>
    <t>d6 The guild’s goals include (leadership and rank-and-file members could have different goals)...</t>
  </si>
  <si>
    <t>1. Expanding the client base.</t>
  </si>
  <si>
    <t>2. Corrupting and influencing the politics of the city or region.</t>
  </si>
  <si>
    <t>3. Eliminating a rival assassins’ guild in the same city or region.</t>
  </si>
  <si>
    <t>4. Eliminating a rival assassins’ guild in a foreign city or region.</t>
  </si>
  <si>
    <t>5. Intimidating the masses.</t>
  </si>
  <si>
    <t>6. Instigating rebellion among the masses.</t>
  </si>
  <si>
    <t>d8 The guild refuses to take contracts to kill...</t>
  </si>
  <si>
    <t>1. Women.</t>
  </si>
  <si>
    <t>2. Young children.</t>
  </si>
  <si>
    <t>3. Nobles and prominent citizens.</t>
  </si>
  <si>
    <t>4. Priests and monks.</t>
  </si>
  <si>
    <t>5. Peasants and poor folk.</t>
  </si>
  <si>
    <t>6. Foreigners and travelers.</t>
  </si>
  <si>
    <t>7. Members of the client’s family.</t>
  </si>
  <si>
    <t>8. Fellow criminals.</t>
  </si>
  <si>
    <t>d8 Guildmembers typically strike with...</t>
  </si>
  <si>
    <t>1. Hit-and-run tactics.</t>
  </si>
  <si>
    <t>2. Ambush tactics.</t>
  </si>
  <si>
    <t>3. Diversionary tactics.</t>
  </si>
  <si>
    <t>4. A precisely planned attack strategy.</t>
  </si>
  <si>
    <t>5. A well-planned escape strategy.</t>
  </si>
  <si>
    <t>6. The element of surprise.</t>
  </si>
  <si>
    <t>7. Announcing their presence.</t>
  </si>
  <si>
    <t>8. No thought of escape.</t>
  </si>
  <si>
    <t>d8 Guildmembers typically plan their attacks for...</t>
  </si>
  <si>
    <t>1. Just after sunrise.</t>
  </si>
  <si>
    <t>2. High noon.</t>
  </si>
  <si>
    <t>3. Just after sunset.</t>
  </si>
  <si>
    <t>4. Well into the night.</t>
  </si>
  <si>
    <t>5. The toll of midnight.</t>
  </si>
  <si>
    <t>6. After midnight.</t>
  </si>
  <si>
    <t>7. The wee hours of the morning.</t>
  </si>
  <si>
    <t>8. Just before sunrise.</t>
  </si>
  <si>
    <t>d12 The guild’s headquarters is hidden in or near...</t>
  </si>
  <si>
    <t>1. The residence of the leader or a senior guildmember.</t>
  </si>
  <si>
    <t>11. An armory or barracks.</t>
  </si>
  <si>
    <t>12. The residence of a wealthy individual or prominent citizen.</t>
  </si>
  <si>
    <t>d12 The guild is feared or respected by...</t>
  </si>
  <si>
    <t>2. Beggars and orphans.</t>
  </si>
  <si>
    <t>4. Nobles and rulers.</t>
  </si>
  <si>
    <t>8. Thieves and criminals.</t>
  </si>
  <si>
    <t>9. Servants and slaves.</t>
  </si>
  <si>
    <t>10. Priests and sages.</t>
  </si>
  <si>
    <t>11. Women and children.</t>
  </si>
  <si>
    <t>12. Other assassins.</t>
  </si>
  <si>
    <t>Random Urban Marketplace</t>
  </si>
  <si>
    <t>d8 The marketplace is located in...</t>
  </si>
  <si>
    <t>1. A wide, rectangular plaza.</t>
  </si>
  <si>
    <t>2. A large, circular or elliptical plaza.</t>
  </si>
  <si>
    <t>3. A large plaza with a polygonal shape (d4): 1. perfect square; 2. trapezoid; 3. triangle; 4. pentagon.</t>
  </si>
  <si>
    <t>4. An intersection of two wide roads.</t>
  </si>
  <si>
    <t>5. A sprawling maze of small alleyways.</t>
  </si>
  <si>
    <t>6. A sprawling maze of tunnels beneath the city streets.</t>
  </si>
  <si>
    <t>7. A huge pavilion with a solid roof overhead.</t>
  </si>
  <si>
    <t>8. A disorganized series of large tents.</t>
  </si>
  <si>
    <t>d10 Vendor stalls, carts, and booths are mostly organized by...</t>
  </si>
  <si>
    <t>1. Type of merchandise.</t>
  </si>
  <si>
    <t>2. Nation of origin of the merchandise.</t>
  </si>
  <si>
    <t>3. Race or ethnicity of the merchants.</t>
  </si>
  <si>
    <t>4. Nothing; the place is a big disorganized mess.</t>
  </si>
  <si>
    <t>5. Religious or political affiliation of the merchants.</t>
  </si>
  <si>
    <t>6. Raw materials and commodities on one half of the market, finished products on the other half.</t>
  </si>
  <si>
    <t>7. Imported goods on one half of the market, local goods on the other half.</t>
  </si>
  <si>
    <t>8. An intricate and archaic system put down in an ancient civic or religious document.</t>
  </si>
  <si>
    <t>9. The social class to which the vendor caters.</t>
  </si>
  <si>
    <t>10. Order of arrival at the marketplace on any given day.</t>
  </si>
  <si>
    <t>INDIVIDUAL VENDORS</t>
  </si>
  <si>
    <t>d12 This vendor is selling wares from...</t>
  </si>
  <si>
    <t>1. A little push cart.</t>
  </si>
  <si>
    <t>2. A small, mule-drawn cart.</t>
  </si>
  <si>
    <t>3. A sizable, horse- or ox-drawn wagon.</t>
  </si>
  <si>
    <t>4. A handful of crates or chests the vendor has set up.</t>
  </si>
  <si>
    <t>5. A large rug on which the vendor has laid out the merchandise.</t>
  </si>
  <si>
    <t>6. A flimsy wooden booth.</t>
  </si>
  <si>
    <t>7. A sturdy wooden booth with a cotton awning.</t>
  </si>
  <si>
    <t>8. A semi-permanent wooden stall.</t>
  </si>
  <si>
    <t>9. A permanent stone stall.</t>
  </si>
  <si>
    <t>10. A huge sack the merchant has set down on the ground.</t>
  </si>
  <si>
    <t>11. A one- or two-man tent.</t>
  </si>
  <si>
    <t>12. A myriad of pockets in the vendor's clothes or a hidden demiplane.</t>
  </si>
  <si>
    <t>d8 This vendor specializes in...</t>
  </si>
  <si>
    <t>1. Raw foodstuffs.</t>
  </si>
  <si>
    <t>2. Prepared foodstuffs.</t>
  </si>
  <si>
    <t>3. Arms and armor.</t>
  </si>
  <si>
    <t>4. Clothing, apparel, or accessories.</t>
  </si>
  <si>
    <t>5. Tools, trinkets, or other household goods.</t>
  </si>
  <si>
    <t>6. Potions, talismans, religious relics, or other magical goods.</t>
  </si>
  <si>
    <t>7. Live animals.</t>
  </si>
  <si>
    <t>8. Raw materials.</t>
  </si>
  <si>
    <t>d8 This vendor's wares were produced or prepared...</t>
  </si>
  <si>
    <t>1. In a foreign land.</t>
  </si>
  <si>
    <t>2. In a local workshop.</t>
  </si>
  <si>
    <t>3. By slaves.</t>
  </si>
  <si>
    <t>4. By skilled laborers or crafters.</t>
  </si>
  <si>
    <t>5. By the vendor him- or herself.</t>
  </si>
  <si>
    <t>6. By laborers or crafters working under horrible conditions.</t>
  </si>
  <si>
    <t>7. In a distant city or region known for goods of this type.</t>
  </si>
  <si>
    <t>8. Somewhere by someone; the vendor neither knows nor cares.</t>
  </si>
  <si>
    <t>d8 This vendor's goods are...</t>
  </si>
  <si>
    <t>1. Of poor quality.</t>
  </si>
  <si>
    <t>2. Cheap but usable, a real bargain.</t>
  </si>
  <si>
    <t>3. Priced for more than they are worth.</t>
  </si>
  <si>
    <t>4. Of decent quality and fairly priced.</t>
  </si>
  <si>
    <t>5. Of the highest quality and quite expensive.</t>
  </si>
  <si>
    <t>6. A mixed bag of low-quality and high-quality stuff.</t>
  </si>
  <si>
    <t>7. Of mysterious origin.</t>
  </si>
  <si>
    <t>8. Possibly stolen.</t>
  </si>
  <si>
    <t>d8 The vendor is...</t>
  </si>
  <si>
    <t>1. An old woman.</t>
  </si>
  <si>
    <t>2. An old man.</t>
  </si>
  <si>
    <t>3. A fat man.</t>
  </si>
  <si>
    <t>4. A scrawny man.</t>
  </si>
  <si>
    <t>5. A hardy woman.</t>
  </si>
  <si>
    <t>6. A plain-faced maid.</t>
  </si>
  <si>
    <t>7. A large woman.</t>
  </si>
  <si>
    <t>8. An odd foreigner.</t>
  </si>
  <si>
    <t>1. Cheerful.</t>
  </si>
  <si>
    <t>2. Surly.</t>
  </si>
  <si>
    <t>3. Suspicious.</t>
  </si>
  <si>
    <t>4. Friendly.</t>
  </si>
  <si>
    <t>5. Alert.</t>
  </si>
  <si>
    <t>6. Sleepy.</t>
  </si>
  <si>
    <t>7. Nervous.</t>
  </si>
  <si>
    <t>8. Frightened.</t>
  </si>
  <si>
    <t>d4 This vendor is...</t>
  </si>
  <si>
    <t>1. Very busy; customers are waiting in line to make purchases.</t>
  </si>
  <si>
    <t>2. Reasonably busy; the vendor makes a sale every few minutes.</t>
  </si>
  <si>
    <t>3. A little slow; the vendor makes a few sales every hour.</t>
  </si>
  <si>
    <t>4. Very slow; the vendor makes only a few sales a day.</t>
  </si>
  <si>
    <t>Random Crafting Guilds: Hire the professionals...</t>
  </si>
  <si>
    <t>d20 This is a guild for...</t>
  </si>
  <si>
    <t>1. Miners.</t>
  </si>
  <si>
    <t>2. Foresters.</t>
  </si>
  <si>
    <t>3. Farmers.</t>
  </si>
  <si>
    <t>4. Laborers.</t>
  </si>
  <si>
    <t>5. Smithies.</t>
  </si>
  <si>
    <t>6. Barbers and dentists.</t>
  </si>
  <si>
    <t>7. Jewelers.</t>
  </si>
  <si>
    <t>8. Fools, entertainers, and players.</t>
  </si>
  <si>
    <t>9. Shipwrights.</t>
  </si>
  <si>
    <t>10. Tanners, furriers, and shoemakers.</t>
  </si>
  <si>
    <t>11. Butchers.</t>
  </si>
  <si>
    <t>12. Locksmiths and nailsmiths.</t>
  </si>
  <si>
    <t>13. Potters and dyers.</t>
  </si>
  <si>
    <t>14. Saddlers, farriers, and stable masters.</t>
  </si>
  <si>
    <t>15. Joiners, wheelwrights, and coopers.</t>
  </si>
  <si>
    <t>16. Masons.</t>
  </si>
  <si>
    <t>17. Weavers and tailors</t>
  </si>
  <si>
    <t>18. Goldsmiths and watchmakers</t>
  </si>
  <si>
    <t>19. Learned professionals (d8): 1. alchemists; 2. architects; 3. calligraphers; 4. historians; 5. lawyers and judges; 6. scribes; 7. siege engineers; 8. writers.</t>
  </si>
  <si>
    <t>20. Special artisans and artists (d10): 1. brewers; 2. candlers; 3. chefs; 4. glassblowers; 5. historical reenactors; 6. mithrilsmiths; 7. musicians; 8. painters; 9. sculptors; 10. silversmiths.</t>
  </si>
  <si>
    <t>d8 This guild's status and control is...</t>
  </si>
  <si>
    <t>1. Poor; though once great, this guild has fallen on hard times and is struggling to maintain its power.</t>
  </si>
  <si>
    <t>2. Brand new, and frantically recruiting members in order to snatch power.</t>
  </si>
  <si>
    <t>3. Exponentially rising, a recent boon has granted them great profits.</t>
  </si>
  <si>
    <t>4. Slowing, a rising competitor is slowly cutting into profits.</t>
  </si>
  <si>
    <t>5. Absolute, they have complete dominance in their field.</t>
  </si>
  <si>
    <t>6. Spotty, depending on the will of the coin and the market this guild may be drinking Elven wine or rotten grog.</t>
  </si>
  <si>
    <t>7. Unquestioned, they exert complete dominance over all other guilds in the area.</t>
  </si>
  <si>
    <t>8. Questionable, though they claim to have control, some operators have undermined it.</t>
  </si>
  <si>
    <t>d8 This guild's illicit affairs comprise...</t>
  </si>
  <si>
    <t>1. Literally nothing, they are paragons of upright morality.</t>
  </si>
  <si>
    <t>2. Staying well within the law, if slipping on a few taxes due to ignorance, of course.</t>
  </si>
  <si>
    <t>3. Knowing how to play the political game, they garner a few indirect favors from officials.</t>
  </si>
  <si>
    <t>4. Guild leaders having dollar signs for eyes, and setting advantageous prices in the city.</t>
  </si>
  <si>
    <t>5. Price floors becoming commonplace, and officials are often bribed in order to overlook some minor illicit activities.</t>
  </si>
  <si>
    <t>6. A variety of upper-level bribes, some minor scams, and the dismay of local priests.</t>
  </si>
  <si>
    <t>7. Rampant corruption, with large-scale bribery of various city officials and contracts with thieves’ guild and occasionally an assassin.</t>
  </si>
  <si>
    <t>8. Pacts with devils, large-scale counterfeiting, and treasonous activities are a normal Tuesday morning for this guild.</t>
  </si>
  <si>
    <t>d8 This guild's headquarters is...</t>
  </si>
  <si>
    <t>1. The leader's or leaders' personal residence, a large manor.</t>
  </si>
  <si>
    <t>2. The dusty basement of the city's capital hall.</t>
  </si>
  <si>
    <t>3. A single, thin, and very tall townhouse that leans slightly into the street.</t>
  </si>
  <si>
    <t>4. A moored ship, especially curious in landlocked cities.</t>
  </si>
  <si>
    <t>5. An open-air pavilion centered in the city's bazaar.</t>
  </si>
  <si>
    <t>6. Doubling as a large and prestigious bank.</t>
  </si>
  <si>
    <t>7. An opulent demiplane hidden in a shady back-alley.</t>
  </si>
  <si>
    <t>8. Jointly shared with all the guilds of the city, and the thieves guild lurks in the sewers below.</t>
  </si>
  <si>
    <t>d6 Minor Quest: You must fetch a shipment of goods from...</t>
  </si>
  <si>
    <t>1. The city gates, held up by a bureaucratic city official.</t>
  </si>
  <si>
    <t>2. The nearest village, where they're caught up in some small-town superstition.</t>
  </si>
  <si>
    <t>3. A relatively nearby city, where there a severe mix-up with the shipments.</t>
  </si>
  <si>
    <t>4. The natural areas one would gather them, yourself, to learn the roots of your trade.</t>
  </si>
  <si>
    <t>5. The stores of the city's banks, which must be paid off from their mortgage.</t>
  </si>
  <si>
    <t>6. Across the room where the party receives the quest.</t>
  </si>
  <si>
    <t>d6 Standard Quest: Recently the guild has lost access to raw materials or manufacturing because of...</t>
  </si>
  <si>
    <t>1. A recent venture with a supplier, rival, or local official that has turned out bad.</t>
  </si>
  <si>
    <t>2. A trade blockade that has to be resolved.</t>
  </si>
  <si>
    <t>3. A thieves’ guild that is targeting the guild, but may be convinced to look somewhere else.</t>
  </si>
  <si>
    <t>4. A master using it frivolously, you must go out to harvest a sufficient replacement amount.</t>
  </si>
  <si>
    <t>5. A city official banning them, citing it as an immoral substance.</t>
  </si>
  <si>
    <t>6. Spending all the coffer's stores on fulfilling a special contract or bribing officials, lacking the foresight to buy sufficient raw materials.</t>
  </si>
  <si>
    <t>d6 Major Quest: The guild would like you to fetch a rare creature or material from...</t>
  </si>
  <si>
    <t>1. The marketplace of the City of Brass.</t>
  </si>
  <si>
    <t>2. An ancient dwarven stronghold's forges.</t>
  </si>
  <si>
    <t>3. A quaint pasture—in the wildest parts of Arborea.</t>
  </si>
  <si>
    <t>4. A faraway island, rumored to have cannibals and foul magicks.</t>
  </si>
  <si>
    <t>5. A mystic mirage that manifests in a desert for twenty minutes once every century.</t>
  </si>
  <si>
    <t>6. The Plane of Rats (or similar filthy location).</t>
  </si>
  <si>
    <t>APPRENTICE CRAFTER</t>
  </si>
  <si>
    <t>d4 The apprentice is...</t>
  </si>
  <si>
    <t>1. Bored.</t>
  </si>
  <si>
    <t>2. Eager to learn.</t>
  </si>
  <si>
    <t>3. Frustrated by his or her own mistakes.</t>
  </si>
  <si>
    <t>4. Nervously looking about.</t>
  </si>
  <si>
    <t>d4 The apprentice seeks someone to...</t>
  </si>
  <si>
    <t>1. Give him some tips in the craft.</t>
  </si>
  <si>
    <t>2. Purchase an item made by the apprentice.</t>
  </si>
  <si>
    <t>3. Tell a tale that inspires creativity.</t>
  </si>
  <si>
    <t>4. Sneak off for a drink and some kisses.</t>
  </si>
  <si>
    <t>ARTISAN</t>
  </si>
  <si>
    <t>d6 The artisan is...</t>
  </si>
  <si>
    <t>1. A young journeyman.</t>
  </si>
  <si>
    <t>2. A mediocre journeyman.</t>
  </si>
  <si>
    <t>3. A skilled journeyman.</t>
  </si>
  <si>
    <t>4. A veteran of the craft.</t>
  </si>
  <si>
    <t>5. A master of the craft.</t>
  </si>
  <si>
    <t>6. An old crafter.</t>
  </si>
  <si>
    <t>d8 The artisan has...</t>
  </si>
  <si>
    <t>1. A friendly smile.</t>
  </si>
  <si>
    <t>2. Keen eyes.</t>
  </si>
  <si>
    <t>3. Watery eyes.</t>
  </si>
  <si>
    <t>4. A stubborn scowl.</t>
  </si>
  <si>
    <t>5. A dour frown.</t>
  </si>
  <si>
    <t>6. A missing tooth.</t>
  </si>
  <si>
    <t>7. Tired eyes.</t>
  </si>
  <si>
    <t>8. An amused smirk.</t>
  </si>
  <si>
    <t>1. A limp.</t>
  </si>
  <si>
    <t>2. A hunchback.</t>
  </si>
  <si>
    <t>3. Unsteady hands when they aren’t at work.</t>
  </si>
  <si>
    <t>4. A habit of looking down.</t>
  </si>
  <si>
    <t>5. A bulbous nose.</t>
  </si>
  <si>
    <t>6. A burn scar on the face.</t>
  </si>
  <si>
    <t>7. A wispy mustache.</t>
  </si>
  <si>
    <t>8. A thick mustache.</t>
  </si>
  <si>
    <t>d6 The artisan is particularly skilled at...</t>
  </si>
  <si>
    <t>1. Crafting one particular type of item.</t>
  </si>
  <si>
    <t>2. Identifying high quality raw materials.</t>
  </si>
  <si>
    <t>3. Putting the finishing touches on an item.</t>
  </si>
  <si>
    <t>4. Instructing and training apprentices.</t>
  </si>
  <si>
    <t>5. Negotiating better prices for goods.</t>
  </si>
  <si>
    <t>6. Maneuvering in guild politics.</t>
  </si>
  <si>
    <t>d8 The artisan is looking for...</t>
  </si>
  <si>
    <t>2. A journeyman craftsman to hire.</t>
  </si>
  <si>
    <t>3. Rare materials.</t>
  </si>
  <si>
    <t>4. A better set of tools.</t>
  </si>
  <si>
    <t>5. Someone with whom to talk shop.</t>
  </si>
  <si>
    <t>6. Someone who witnessed a recent sporting event.</t>
  </si>
  <si>
    <t>7. Someone who is attending an upcoming sporting event.</t>
  </si>
  <si>
    <t>8. A mug of strong ale.</t>
  </si>
  <si>
    <t>d6 The artisan is carrying...</t>
  </si>
  <si>
    <t>1. The tools of his or her trade.</t>
  </si>
  <si>
    <t>2. Some raw materials.</t>
  </si>
  <si>
    <t>3. A finished product.</t>
  </si>
  <si>
    <t>4. A little coin.</t>
  </si>
  <si>
    <t>5. A to-do list scrawled on a bit of parchment.</t>
  </si>
  <si>
    <t>6. A set of many keys.</t>
  </si>
  <si>
    <t>7. A pipe and some tobacco.</t>
  </si>
  <si>
    <t>8. A flask of whisky.</t>
  </si>
  <si>
    <t>1. A well-known member of the guild.</t>
  </si>
  <si>
    <t>2. An established or up-and-coming leader in the guild.</t>
  </si>
  <si>
    <t>3. A new member of the guild, having recently relocated from a distant land.</t>
  </si>
  <si>
    <t>4. A quiet guildmember, who doesn’t get involved in guild politics.</t>
  </si>
  <si>
    <t>5. On the outs with guild leadership.</t>
  </si>
  <si>
    <t>6. A favorite of some of the guild’s leaders.</t>
  </si>
  <si>
    <t>d6 The artisan dreams of...</t>
  </si>
  <si>
    <t>1. Producing a masterwork of the craft.</t>
  </si>
  <si>
    <t>2. Holding the reins of guild leadership.</t>
  </si>
  <si>
    <t>3. Retiring peacefully.</t>
  </si>
  <si>
    <t>4. Retiring rich.</t>
  </si>
  <si>
    <t>5. Running away from it all.</t>
  </si>
  <si>
    <t>6. A life of adventure.</t>
  </si>
  <si>
    <t>Random Merchant Guilds: We have what you need...</t>
  </si>
  <si>
    <t>d8 The guild is controlled by...</t>
  </si>
  <si>
    <t>1. A no-nonsense kingpin who despises bureaucracy.</t>
  </si>
  <si>
    <t>2. A small and pinched-face gnome with a sinister desire for money.</t>
  </si>
  <si>
    <t>3. An inexperienced young noble with a petulant need for a full purse.</t>
  </si>
  <si>
    <t>4. A council of the heads of local crafting guilds.</t>
  </si>
  <si>
    <t>5. An argumentative mass democracy of all the city's merchants.</t>
  </si>
  <si>
    <t>6. A longstanding and ancient charter that applies to all merchants, and the militia acting as the charter's executors.</t>
  </si>
  <si>
    <t>7. The most wealthy merchant in the city.</t>
  </si>
  <si>
    <t>8. A city-appointed monk, who has sworn away worldly wealth.</t>
  </si>
  <si>
    <t>d8 Minor Quest: The guild has been having some trouble with...</t>
  </si>
  <si>
    <t>1. A merchant was recently shaken down by a lowly thug, send a message.</t>
  </si>
  <si>
    <t>2. Gold stores, perhaps you could make a donation of 500 gold pieces?</t>
  </si>
  <si>
    <t>3. Transporting a semi-rare magical item to a nearby branch.</t>
  </si>
  <si>
    <t>4. A caravan that doesn't feel comfortable going through a newly discovered path in the nearby woods, escort them.</t>
  </si>
  <si>
    <t>5. A city militia member getting nosy.</t>
  </si>
  <si>
    <t>6. A crafting guild hesitant to sign up for the merchant guild's special loyalty program.</t>
  </si>
  <si>
    <t>7. A rat infestation.</t>
  </si>
  <si>
    <t>8. A rat infestation (that actually is a rift to the Plane of Rats or similar filthy location).</t>
  </si>
  <si>
    <t>d8 Standard Quest: The guild needs you to handle...</t>
  </si>
  <si>
    <t>1. A caravan gone missing in a nearby region.</t>
  </si>
  <si>
    <t>2. A rising thieves’ guild that seems uncooperative.</t>
  </si>
  <si>
    <t>3. A city official hellbent on stamping out capitalism.</t>
  </si>
  <si>
    <t>4. A competing Merchant guild that has begun to outpace the guild.</t>
  </si>
  <si>
    <t>5. A recent trade blockade—you need to resolve the tensions or clear the blockade.</t>
  </si>
  <si>
    <t>6. Rumors of aberrations in the night that have driven away trade.</t>
  </si>
  <si>
    <t>7. A Board Member who has decided to go rogue and has stolen from the coffers.</t>
  </si>
  <si>
    <t>8. A very large rat infestation (the rift has become a permanent Gate to the Plane of Rats or similar filthy location).</t>
  </si>
  <si>
    <t>d8 Major Quest: A matter of great import, the guild is faced with...</t>
  </si>
  <si>
    <t>1. A mercenary army that has laid siege to the city!</t>
  </si>
  <si>
    <t>2. Mass corruption from the inside, half the board is revealed to be mind flayers.</t>
  </si>
  <si>
    <t>3. A massive religious revival that causes the entire population to scorn material pursuits and cut deep into the bottom line.</t>
  </si>
  <si>
    <t>4. A mummy king who has taken a caravan with most of the guild coffer's investments hostage.</t>
  </si>
  <si>
    <t>5. Political revolution that threatens the guild coffers with looting, protect our stores but civilians cannot be harmed.</t>
  </si>
  <si>
    <t>6. An investigation from the King's Spymaster into the extent of the guild's illicit activities.</t>
  </si>
  <si>
    <t>7. A planar being has supplanted the guild master, who is imprisoned in a planar cage.</t>
  </si>
  <si>
    <t>8. Waves of rats that threaten the entire guildhall's basement (the rift has become a gigantic faucet of rats) where an Avatar of the God of Rats has taken up residence.</t>
  </si>
  <si>
    <t>TRADING COMPANY</t>
  </si>
  <si>
    <t>d6 This trading company's specific specialty or purpose is...</t>
  </si>
  <si>
    <t>1. Long-range sea trade, exploration, and transport.</t>
  </si>
  <si>
    <t>2. Long-range aerial trade; accomplished with airships, aarakocra messengers, and the occasional roc or dragon.</t>
  </si>
  <si>
    <t>3. The hunting and trapping of exotic monsters and animals.</t>
  </si>
  <si>
    <t>4. Acting as a puppet agency for a local kingdom manipulating global trade.</t>
  </si>
  <si>
    <t>5. Securing and creating long-range caravans, and the slow growth of roads (and maybe even railroads).</t>
  </si>
  <si>
    <t>6. Exploring and exploiting newly discovered lands or planes.</t>
  </si>
  <si>
    <t>d8 This trading company is controlled by...</t>
  </si>
  <si>
    <t>1. A planar being disguised as a wealthy merchant (refer to illicit activities roll for planar source, low is celestial, middle is neutral, high is fiendish).</t>
  </si>
  <si>
    <t>2. A joint council of Masters of Coin from all civilized kingdoms of the world.</t>
  </si>
  <si>
    <t>3. A savant goblin who has achieved immortality by divine blessing.</t>
  </si>
  <si>
    <t>4. A grizzled ex-adventurer.</t>
  </si>
  <si>
    <t>5. A council of investors.</t>
  </si>
  <si>
    <t>6. An argumentative mass democracy of all the company's merchants.</t>
  </si>
  <si>
    <t>7. A massively wealthy caravan master who found a lost city of gold.</t>
  </si>
  <si>
    <t>8. A large and grotesque slave master.</t>
  </si>
  <si>
    <t>SHOPKEEPER</t>
  </si>
  <si>
    <t>d4 The shopkeeper is...</t>
  </si>
  <si>
    <t>2. Eager to help.</t>
  </si>
  <si>
    <t>3. Visibly perturbed.</t>
  </si>
  <si>
    <t>d4 The shopkeeper seeks someone to...</t>
  </si>
  <si>
    <t>1. Purchase faulty goods.</t>
  </si>
  <si>
    <t>2. Purchase a large shipment of goods.</t>
  </si>
  <si>
    <t>3. Listen to some whining.</t>
  </si>
  <si>
    <t>4. Share some wine and chat.</t>
  </si>
  <si>
    <t>MERCHANT</t>
  </si>
  <si>
    <t>d6 The merchant is...</t>
  </si>
  <si>
    <t>1. A member of a trading clan.</t>
  </si>
  <si>
    <t>2. A minor lord or lady.</t>
  </si>
  <si>
    <t>3. An enterprising trader.</t>
  </si>
  <si>
    <t>4. A member of a prominent family.</t>
  </si>
  <si>
    <t>5. Of common birth.</t>
  </si>
  <si>
    <t>6. The representative of a more powerful merchant.</t>
  </si>
  <si>
    <t>d4 The merchant wears...</t>
  </si>
  <si>
    <t>1. An unpleasant grin.</t>
  </si>
  <si>
    <t>2. An arrogant smirk.</t>
  </si>
  <si>
    <t>3. Too much perfume.</t>
  </si>
  <si>
    <t>4. A baggy shirt to cover a fat belly.</t>
  </si>
  <si>
    <t>d4 The merchant seeks someone to...</t>
  </si>
  <si>
    <t>1. Obtain a mysterious artifact.</t>
  </si>
  <si>
    <t>3. Sabotage a rival merchant.</t>
  </si>
  <si>
    <t>4. Have a good time with.</t>
  </si>
  <si>
    <t>d6 The merchant carries...</t>
  </si>
  <si>
    <t>2. Several inventories and invoices.</t>
  </si>
  <si>
    <t>3. Some very valuable jewels.</t>
  </si>
  <si>
    <t>4. A compromising love letter.</t>
  </si>
  <si>
    <t>5. A small knife.</t>
  </si>
  <si>
    <t>6. A vial of healing potion, just in case.</t>
  </si>
  <si>
    <t>d6 Currency: Besides coin, the merchant will trade in...</t>
  </si>
  <si>
    <t>1. Gems and jewelry.</t>
  </si>
  <si>
    <t>2. Gold and silver bullion.</t>
  </si>
  <si>
    <t>3. Water, provisions, and other goods.</t>
  </si>
  <si>
    <t>4. Shells, beads, and trinkets.</t>
  </si>
  <si>
    <t>5. Favors.</t>
  </si>
  <si>
    <t>6. Scandalous information.</t>
  </si>
  <si>
    <t>Random Merchant Caravans</t>
  </si>
  <si>
    <t>Use these tables for quick inspiration, to facilitate improvisation, or roll them up randomly. Some of the tables could be rolled more.</t>
  </si>
  <si>
    <t>d6 The caravan is...</t>
  </si>
  <si>
    <t>1. A wagon train.</t>
  </si>
  <si>
    <t>2. A long wagon train.</t>
  </si>
  <si>
    <t>3. A small train of pack animals.</t>
  </si>
  <si>
    <t>4. A long train of pack animals.</t>
  </si>
  <si>
    <t>5. A train of pack animals with livestock.</t>
  </si>
  <si>
    <t>6. Traveling on foot with a few animals.</t>
  </si>
  <si>
    <t>d8 The caravan’s pack animals are...</t>
  </si>
  <si>
    <t>1. One-humped camels.</t>
  </si>
  <si>
    <t>2. Two-humped camels.</t>
  </si>
  <si>
    <t>3. Large draft horses.</t>
  </si>
  <si>
    <t>4. Reliable garrons.</t>
  </si>
  <si>
    <t>5. Sure-footed ponies.</t>
  </si>
  <si>
    <t>6. Mules.</t>
  </si>
  <si>
    <t>7. Oxen.</t>
  </si>
  <si>
    <t>8. Exotic beasts (d6): 1. bison; 2. drakes; 3. elephants; 4. elk; 5. giant lizards; 6. zebras.</t>
  </si>
  <si>
    <t>d6 The caravan is transporting...</t>
  </si>
  <si>
    <t>1. Cloth (d4): 1. cotton, 2. linen; 3. silk, 4. wool.</t>
  </si>
  <si>
    <t>2. Drugs or contraband.</t>
  </si>
  <si>
    <t>3. Gemstones (d6): 1. diamond; 2. emerald; 3. jade; 5. obsidian; 5. opal; 6. pearl; 7. ruby; 8. sapphire; 9. topaz; 10. turquoise.</t>
  </si>
  <si>
    <t>4. Metals (d6): 1. arsenic; 2. copper; 3. gold; 4. lead; 5. silver; 6. tin.</t>
  </si>
  <si>
    <t>5. Spices and teas.</t>
  </si>
  <si>
    <t>6. Wine and spirits.</t>
  </si>
  <si>
    <t>d4 The caravan’s general mood is...</t>
  </si>
  <si>
    <t>1. Desperate; a calamity has befallen them.</t>
  </si>
  <si>
    <t>2. Foul; morale is bad, and provisions are low.</t>
  </si>
  <si>
    <t>3. Tired; the journey is long and longer yet.</t>
  </si>
  <si>
    <t>4. Eager; great riches await at journey’s end.</t>
  </si>
  <si>
    <t>CARAVAN MASTER</t>
  </si>
  <si>
    <t>d8 The caravan master is...</t>
  </si>
  <si>
    <t>1. A mysterious foreigner.</t>
  </si>
  <si>
    <t>2. A career soldier.</t>
  </si>
  <si>
    <t>4. A celebrated explorer.</t>
  </si>
  <si>
    <t>5. A femme fatale.</t>
  </si>
  <si>
    <t>6. A charming rogue.</t>
  </si>
  <si>
    <t>7. A dashing swashbuckler.</t>
  </si>
  <si>
    <t>8. A brutish thug.</t>
  </si>
  <si>
    <t>d8 The caravan master is looking for...</t>
  </si>
  <si>
    <t>1. Information regarding the route ahead.</t>
  </si>
  <si>
    <t>2. The location of an ancient ruin.</t>
  </si>
  <si>
    <t>3. Extra muscle for the journey.</t>
  </si>
  <si>
    <t>4. News from the origin or destination.</t>
  </si>
  <si>
    <t>5. Revenge against a bitter rival.</t>
  </si>
  <si>
    <t>6. Ways to cheat the caravan’s owner.</t>
  </si>
  <si>
    <t>7. Ways to speed up the caravan’s pace.</t>
  </si>
  <si>
    <t>8. Drinking companions and storytellers.</t>
  </si>
  <si>
    <t>d6 The caravan master is taking special care to avoid...</t>
  </si>
  <si>
    <t>1. Ancient ruins and cursed places.</t>
  </si>
  <si>
    <t>2. Barbarians.</t>
  </si>
  <si>
    <t>3. Bandits.</t>
  </si>
  <si>
    <t>4. Other caravans.</t>
  </si>
  <si>
    <t>5. Thieves.</t>
  </si>
  <si>
    <t>6. Wild beasts.</t>
  </si>
  <si>
    <t>d8 The caravan master carries...</t>
  </si>
  <si>
    <t>2. Several daggers and a purse of gold.</t>
  </si>
  <si>
    <t>3. A trusted blade and a map.</t>
  </si>
  <si>
    <t>4. A lucky charm (rabbit’s foot, old coin).</t>
  </si>
  <si>
    <t>5. The token of a faraway love.</t>
  </si>
  <si>
    <t>6. Extravagant jewels and silks.</t>
  </si>
  <si>
    <t>7. Keys of many shapes and sizes.</t>
  </si>
  <si>
    <t>8. A little jar of mustache wax.</t>
  </si>
  <si>
    <t>ANIMAL HANDLER/PORTER</t>
  </si>
  <si>
    <t>d6 The animal handler has...</t>
  </si>
  <si>
    <t>3. Holes in the breeches.</t>
  </si>
  <si>
    <t>4. Quite an odor.</t>
  </si>
  <si>
    <t>5. A threadbare shirt.</t>
  </si>
  <si>
    <t>6. A ragged beard.</t>
  </si>
  <si>
    <t>d4 The animal handler wants to...</t>
  </si>
  <si>
    <t>2. Go back home.</t>
  </si>
  <si>
    <t>3. Survive the journey.</t>
  </si>
  <si>
    <t>4. Have a drink and a rest.</t>
  </si>
  <si>
    <t>d6 The animal handler carries...</t>
  </si>
  <si>
    <t>1. A memento from a loved one.</t>
  </si>
  <si>
    <t>2. Several morsels of animal feed.</t>
  </si>
  <si>
    <t>3. Several morsels of food.</t>
  </si>
  <si>
    <t>4. A few copper pieces.</t>
  </si>
  <si>
    <t>5. A waterskin.</t>
  </si>
  <si>
    <t>6. A wineskin.</t>
  </si>
  <si>
    <t>2. A glass of water.</t>
  </si>
  <si>
    <t>3. A cup of cold porridge.</t>
  </si>
  <si>
    <t>4. A hearty handshake.</t>
  </si>
  <si>
    <t>1. Someone more important to talk to.</t>
  </si>
  <si>
    <t>2. Some better ingredients.</t>
  </si>
  <si>
    <t>d6 The cook carries...</t>
  </si>
  <si>
    <t>2. A large wooden spoon.</t>
  </si>
  <si>
    <t>3. A grease-smeared apron.</t>
  </si>
  <si>
    <t>5. A pouch full of spices.</t>
  </si>
  <si>
    <t>6. A bottle of whisky.</t>
  </si>
  <si>
    <t>d6 The guard is...</t>
  </si>
  <si>
    <t>1. The son of a miner or fisherman.</t>
  </si>
  <si>
    <t>2. A veteran of warfare.</t>
  </si>
  <si>
    <t>3. The son of a poor man.</t>
  </si>
  <si>
    <t>4. A drunk.</t>
  </si>
  <si>
    <t>5. A thug.</t>
  </si>
  <si>
    <t>6. A favorite among the ladies.</t>
  </si>
  <si>
    <t>d4 The guard works for...</t>
  </si>
  <si>
    <t>2. A chance to dole out pain.</t>
  </si>
  <si>
    <t>d10 The guard has...</t>
  </si>
  <si>
    <t>2. A foolish grin.</t>
  </si>
  <si>
    <t>3. A stupid stare.</t>
  </si>
  <si>
    <t>4. A blade with an inscription.</t>
  </si>
  <si>
    <t>5. A highly polished blade.</t>
  </si>
  <si>
    <t>6. A token from a favorite harlot.</t>
  </si>
  <si>
    <t>9. A pair of dice or a deck of cards.</t>
  </si>
  <si>
    <t>10. A beautiful, waxed mustache.</t>
  </si>
  <si>
    <t>GUIDE</t>
  </si>
  <si>
    <t>d4 The guide is...</t>
  </si>
  <si>
    <t>1. A nomadic herder.</t>
  </si>
  <si>
    <t>2. A strange hermit.</t>
  </si>
  <si>
    <t>3. A skilled hunter.</t>
  </si>
  <si>
    <t>4. A savage warrior.</t>
  </si>
  <si>
    <t>d4 The guide is looking to...</t>
  </si>
  <si>
    <t>1. Help the caravan in any way.</t>
  </si>
  <si>
    <t>2. Lead the caravan astray.</t>
  </si>
  <si>
    <t>3. Fill his purse with gold.</t>
  </si>
  <si>
    <t>d4 The guide carries...</t>
  </si>
  <si>
    <t>1. An unusual map.</t>
  </si>
  <si>
    <t>2. A unique trinket or piece of jewelry.</t>
  </si>
  <si>
    <t>3. A spear or walking staff.</t>
  </si>
  <si>
    <t>4. A large knife and some rope.</t>
  </si>
  <si>
    <t>CARAVAN OWNER</t>
  </si>
  <si>
    <t>6. The real owner’s representative.</t>
  </si>
  <si>
    <t>d6 The merchant seeks someone to...</t>
  </si>
  <si>
    <t>3. Purchase goods.</t>
  </si>
  <si>
    <t>4. Sabotage a rival merchant.</t>
  </si>
  <si>
    <t>d4 The merchant carries...</t>
  </si>
  <si>
    <t>d4 Currency: The merchant will trade in...</t>
  </si>
  <si>
    <t>1. Coins and gems.</t>
  </si>
  <si>
    <t>d6 The traveler is...</t>
  </si>
  <si>
    <t>3. A pilgrim.</t>
  </si>
  <si>
    <t>4. A sellsword.</t>
  </si>
  <si>
    <t>5. A storyteller.</t>
  </si>
  <si>
    <t>6. A treasure hunter.</t>
  </si>
  <si>
    <t>d6 The traveler is searching for...</t>
  </si>
  <si>
    <t>1. The answer to a riddle</t>
  </si>
  <si>
    <t>2. A long lost friend.</t>
  </si>
  <si>
    <t>3. The return of something stolen.</t>
  </si>
  <si>
    <t>4. Revenge against a bitter rival.</t>
  </si>
  <si>
    <t>5. New adventures.</t>
  </si>
  <si>
    <t>6. Steady work.</t>
  </si>
  <si>
    <t>d4 Tonight, the traveler is looking for...</t>
  </si>
  <si>
    <t>2. An audience to entertain.</t>
  </si>
  <si>
    <t>3. Someone to hear a sad tale.</t>
  </si>
  <si>
    <t>4. Drinking companions.</t>
  </si>
  <si>
    <t>Random hoards of coins</t>
  </si>
  <si>
    <t>D10 Material</t>
  </si>
  <si>
    <t>1. Gold</t>
  </si>
  <si>
    <t>2. Silver</t>
  </si>
  <si>
    <t>3. Copper</t>
  </si>
  <si>
    <t>4. Brass</t>
  </si>
  <si>
    <t>5. Obsidian</t>
  </si>
  <si>
    <t>6. Wood</t>
  </si>
  <si>
    <t>7. Ivory</t>
  </si>
  <si>
    <t>8. Ceramic</t>
  </si>
  <si>
    <t>9. Bone</t>
  </si>
  <si>
    <t>10. Carved clam/oyster shells</t>
  </si>
  <si>
    <t>D10 Size and Shape</t>
  </si>
  <si>
    <t>1. Thin coins 1 inch across</t>
  </si>
  <si>
    <t>2. Fat Coins almost 2 inches across</t>
  </si>
  <si>
    <t>3. Tiny Coins less than 1/2 inch across</t>
  </si>
  <si>
    <t>4. Square Coins that don't fit a common measure</t>
  </si>
  <si>
    <t>5. Rectangular chits 2 inches long</t>
  </si>
  <si>
    <t>6. Fat Coins about 1 inch across</t>
  </si>
  <si>
    <t>7. Eight sided coins 1 inch across</t>
  </si>
  <si>
    <t>8. Round coins with a 1/2 inch hole in the center</t>
  </si>
  <si>
    <t>9. Crescent shaped coins with dull points</t>
  </si>
  <si>
    <t>10. Tiny coins with irregular edges</t>
  </si>
  <si>
    <t>D10 Markings</t>
  </si>
  <si>
    <t>1. A face</t>
  </si>
  <si>
    <t>2. A flag</t>
  </si>
  <si>
    <t>3. A geometric pattern</t>
  </si>
  <si>
    <t>4. A slogan</t>
  </si>
  <si>
    <t>5. A numerical value</t>
  </si>
  <si>
    <t>6. A line for splitting</t>
  </si>
  <si>
    <t>7. A crown</t>
  </si>
  <si>
    <t>8. A city</t>
  </si>
  <si>
    <t>9. A ship</t>
  </si>
  <si>
    <t>10. A crest</t>
  </si>
  <si>
    <t>D10 The coins value is defined as...</t>
  </si>
  <si>
    <t>1. It's weight of metal</t>
  </si>
  <si>
    <t>2. A barrel of water</t>
  </si>
  <si>
    <t>3. One mile of tolls on the king's road</t>
  </si>
  <si>
    <t>4. One deer hide</t>
  </si>
  <si>
    <t>5. It's weight in gold</t>
  </si>
  <si>
    <t>6. Two of a smaller coin</t>
  </si>
  <si>
    <t>7. A day's wages for a soldier</t>
  </si>
  <si>
    <t>8. A bushel of wheat</t>
  </si>
  <si>
    <t>9. An hour of air in an underwater kingdom</t>
  </si>
  <si>
    <t>10. A yard of common cloth</t>
  </si>
  <si>
    <t>D10 Age</t>
  </si>
  <si>
    <t>1. Newly minted</t>
  </si>
  <si>
    <t>2. Current</t>
  </si>
  <si>
    <t>3. Current, but out of circulation</t>
  </si>
  <si>
    <t>4. Old</t>
  </si>
  <si>
    <t>5. Old and corroded</t>
  </si>
  <si>
    <t>6. Ancient</t>
  </si>
  <si>
    <t>7. Ancient, and concreted together with other coins</t>
  </si>
  <si>
    <t>8. Current, but from another plane</t>
  </si>
  <si>
    <t>9. Old, and from a distant land</t>
  </si>
  <si>
    <t>10. Ancient, and from a long forgotten empire</t>
  </si>
  <si>
    <t>D10 The coin is valuable for other reasons because...</t>
  </si>
  <si>
    <t>1. it is highly valued by collectors.</t>
  </si>
  <si>
    <t>2. it was only minted during a short time frame.</t>
  </si>
  <si>
    <t>3. it depicts a famous symbol.</t>
  </si>
  <si>
    <t>4. it isn't.</t>
  </si>
  <si>
    <t>5. it is from the reign of the last king.</t>
  </si>
  <si>
    <t>6. it was minted by a long dead people.</t>
  </si>
  <si>
    <t>7. it is common in the realm.</t>
  </si>
  <si>
    <t>8. it is the only remaining trace of a lost empire.</t>
  </si>
  <si>
    <t>9. it was minted in a distant land.</t>
  </si>
  <si>
    <t>10. it is made from a material rare in this area.</t>
  </si>
  <si>
    <t>D10 A mixed hoard of coins contains...</t>
  </si>
  <si>
    <t>1. Identical copies of the same coin, all minted in the same place.</t>
  </si>
  <si>
    <t>2. Coins of various sizes, made of the same metal, and with similar markings, likely minted in the same place.</t>
  </si>
  <si>
    <t>3. Coins of various shapes, made of different metals, and with similar markings, likely minted in the same place.</t>
  </si>
  <si>
    <t>4. Mostly identical copies of the same coin with a handful of others mixed in.</t>
  </si>
  <si>
    <t>5. Mostly coins with similar markings, with a few foreign coins mixed in.</t>
  </si>
  <si>
    <t>6. A mixed bag of coins from all over the world.</t>
  </si>
  <si>
    <t>7. A box of rare coins from far away along with many common coins of the realm.</t>
  </si>
  <si>
    <t>8. A set of chits with a value in coins redeemable on their face mixed among the coins.</t>
  </si>
  <si>
    <t>9. A pile of coins corroded over time into one large mass.</t>
  </si>
  <si>
    <t>10. A charred bag of soot stained coins.</t>
  </si>
  <si>
    <t>Use these tables for inspiration or roll them up randomly. Some of the tables could be rolled more than once.</t>
  </si>
  <si>
    <t>Use these tables for inspiration or roll them up randomly.</t>
  </si>
  <si>
    <t>Random Books</t>
  </si>
  <si>
    <t>d20 The book's subject is...</t>
  </si>
  <si>
    <t>1. Alchemy and potions (d6): 1. healing tonics; 2. metallurgy; 3. pyromancy; 4. poisoncraft; 5. potionmaking; 6. recipes.</t>
  </si>
  <si>
    <t>2. Art and architecture (d6): 1. fortresses and palaces; 2. painting; 3. sketching; 4. sculpture; 5. stonemasonry; 6. temples and tombs.</t>
  </si>
  <si>
    <t>3. Astronomy and astrology (d6): 1. comets; 2. constellations; 3. moon; 4. sun; 5. stars; 6. strange phenomena.</t>
  </si>
  <si>
    <t>4. Beast lore (d6): 1. domestic beasts; 2. habits; 3. handling; 4. husbandry; 5. poisonous beasts; 6. regional bestiary.</t>
  </si>
  <si>
    <t>5. Demonology (d6): 1. conjurings; 2. exorcisms; 3. fiendish bargains; 4. fiendish bestiary; 5. fiendish realms; 6. fiendish symbols.</t>
  </si>
  <si>
    <t>6. Divination (d6): 1. anthropomancy; 2. crystal gazing; 3. oneiromancy; 4. palm reading; 5. tarot cards; 6. tea leaves.</t>
  </si>
  <si>
    <t>7. Healing arts (d6): 1. alchemical remedies; 2. anatomy; 3. herbal remedies; 4. prayers; 5. rituals; 6. surgery.</t>
  </si>
  <si>
    <t>8. Herb lore (d6): 1. healing herbs; 2. mushrooms; 3. poisons; 4. roots; 5. trees; 6. wildflowers.</t>
  </si>
  <si>
    <t>9. History (d6): 1. ancient; 2. cultural; 3. economic; 4. military; 5. political; 6. regional.</t>
  </si>
  <si>
    <t>10. Languages (d6): 1. ancient; 2. forbidden; 3. exotic; 4. grammar and punctuation; 5. translations; 6. traveler's phrases.</t>
  </si>
  <si>
    <t>11. Literary fiction (d6): 1. adventure; 2. fairy tales, 3. folk tales, 4. murder mystery; 5. romance; 6. satire.</t>
  </si>
  <si>
    <t>12. Mining and mineralogy (d6): 1. gems; 2. metals; 3. mining sties; 4. strategy; 5. rocks; 6. smithing.</t>
  </si>
  <si>
    <t>13. Music and songs (d6): 1. heroic ballads; 2. love ballads; 3. bawdy tunes; 4. dirges and laments; 5. hymns; 6. works of a celebrated singer.</t>
  </si>
  <si>
    <t>14. Necromancy (d6): 1. animation; 2. corpses; 3. lichdom; 4. spirits and souls; 5. undead bestiary; 6. vampirism.</t>
  </si>
  <si>
    <t>15. Plays (d6): 1. comedy; 2. drama; 3. history; 4. romance; 5. satire; 6. tragedy.</t>
  </si>
  <si>
    <t>16. Poetry and poems (d6): 1. ballads; 2. epic poetry; 3. love poetry; 4. lyric poetry; 5. odes and laments; 6. works of a celebrated poet.</t>
  </si>
  <si>
    <t>17. Prophecies and omens (d6): 1. apocalypse; 2. astronomical events; 3. birds; 4. dreams; 5. visions; 6. weather.</t>
  </si>
  <si>
    <t>18. Theology (d6): 1. afterlife; 2. rituals and practices; 3. religious history; 4. saints and martyrs; 5. sacred symbols; 6. sacred texts.</t>
  </si>
  <si>
    <t>19. True magic (d6): 1. elementalism; 2. enchantment; 3. illusions; 4. summoning; 5. teleportation and travel; 6. warding.</t>
  </si>
  <si>
    <t>20. Travel and trade (d6): 1. ancient ruins; 2. exotic travelogue; 3. economics and taxation; 4. foreign cultures; 5. regional landmarks and terrain; 6. trade routes.</t>
  </si>
  <si>
    <t>d10 The book's condition is...</t>
  </si>
  <si>
    <t>1. Worn and tattered.</t>
  </si>
  <si>
    <t>2. Poor. An ink stain obscures a fair amount of the pages.</t>
  </si>
  <si>
    <t>3. Accidentally damaged. Various water damage around the edges but readable.</t>
  </si>
  <si>
    <t>4. Vandalized. It appears that a good dozen pages have been ripped out.</t>
  </si>
  <si>
    <t>5. Deliberately damaged. Towards the middle there is a section hollowed out. In this hiding place, you find (d6): 1. a locket; 2. a knife; 3. a small hammer; 4. a small scroll; 5. a vial of mysterious liquid; 6. a ring.</t>
  </si>
  <si>
    <t>6. Badly damaged. A lot of the ink has run through water damage and it is nearly illegible.</t>
  </si>
  <si>
    <t>7. Ancient. The pages crumble as they turn.</t>
  </si>
  <si>
    <t>8. Strange. The pages are blank?</t>
  </si>
  <si>
    <t>9. Good, but used. There are handwritten notes in the margins of the pages.</t>
  </si>
  <si>
    <t>10. Pristine. You can smell the ink drying.</t>
  </si>
  <si>
    <t>d12 The book's cover is...</t>
  </si>
  <si>
    <t>1. Missing. The pages are bound with string woven through holes near the spine.</t>
  </si>
  <si>
    <t>2. Stained leather. Some sign of wear.</t>
  </si>
  <si>
    <t>3. Wooden. The title is carved into the spine.</t>
  </si>
  <si>
    <t>4. Paperback.</t>
  </si>
  <si>
    <t>5. Animal hide. The fur is still on.</t>
  </si>
  <si>
    <t>6. Stone. Iron rings hold it together.</t>
  </si>
  <si>
    <t>7. Cast Iron. Hinges keep it bound.</t>
  </si>
  <si>
    <t>8. Leather with gemstones embedded in it.</t>
  </si>
  <si>
    <t>9. Leather with the title branded on it.</t>
  </si>
  <si>
    <t>10. Leather with gilding on the spine.</t>
  </si>
  <si>
    <t>11. Torn off. It's kept together by a leather belt.</t>
  </si>
  <si>
    <t>12. Tree Bark. Dried vine binds it.</t>
  </si>
  <si>
    <t>d10 The book is...</t>
  </si>
  <si>
    <t>1. A standalone volume, the author's only published work.</t>
  </si>
  <si>
    <t>2. A standalone volume, the author's only surviving work.</t>
  </si>
  <si>
    <t>3. A standalone volume, written by a prolific but obscure author.</t>
  </si>
  <si>
    <t>4. A standalone volume, written by a well-known author.</t>
  </si>
  <si>
    <t>5. The sequel to a book by the same author.</t>
  </si>
  <si>
    <t>6. A part of a series with 3-9 books.</t>
  </si>
  <si>
    <t>7. A single volume of a larger work with 4-15 volumes.</t>
  </si>
  <si>
    <t>8. An edition of a regularly published book with multiple authors.</t>
  </si>
  <si>
    <t>9. A collection of works by the same author.</t>
  </si>
  <si>
    <t>10. An anthology of works by several authors.</t>
  </si>
  <si>
    <t>Random Songs</t>
  </si>
  <si>
    <t>d20 The song is about (roll twice)...</t>
  </si>
  <si>
    <t>1. A young common woman (d8): 1. barmaid; 2. blacksmith's daughter; 3. farmer's daughter; 4. miner's daughter; 5. Innkeeper's daughter; 6. harlot; 7. lady's maid; 8. scullery maid.</t>
  </si>
  <si>
    <t>2. A common woman (d8): 1. barmaid; 2. captain's wife; 3. farmwife; 4. fisherman's wife; 5. housemaid; 6. madame; 7. merchant's wife; 8. seamstress.</t>
  </si>
  <si>
    <t>3. A noblewoman (d8): 1. beautiful maiden; 2. young princess; 3. ugly princess; 4. young queen; 5. old queen; 6. wicked queen; 7. faerie queen; 8. old widow.</t>
  </si>
  <si>
    <t>4. A priestess (d8): 1. young novice; 2. innocent virgin; 3. high priestess; 4. sister of mercy; 5. old prude; 6. oracle; 7. temptress; 8. zealot.</t>
  </si>
  <si>
    <t>5. A witch (d8): 1. crone; 2. enchantress; 3. gypsy woman; 4. fortune teller; 5. potion-maker; 6. seer; 7. dark sorceress; 8. wicked witch.</t>
  </si>
  <si>
    <t>6. A wizard (d8): 1. alchemist; 2. conjurer; 3. illusionist; 4. magician; 5. necromancer; 6. pyromancer; 7. old wizard; 8. apprentice mage.</t>
  </si>
  <si>
    <t>7. A warrior (d8): 1. barbarian; 2. gladiator; 3. guard captain; 4. young knight; 5. proud knight; 6. old knight; 7. mystery knight; 8. sellsword.</t>
  </si>
  <si>
    <t>8. A rogue (d8): 1. bandit; 2. gambler; 3. jester; 4. outlaw; 5. pirate; 6. singer; 7. smuggler; 8. thief.</t>
  </si>
  <si>
    <t>9. A priest (d8): 1. young acolyte; 2. exorcist; 3. healer; 4. stoic monk; 5. preacher; 6. old priest; 7. young scholar; 8. wise master.</t>
  </si>
  <si>
    <t>10. A common man (d8): 1. blacksmith; 2. farmer; 3. fisherman; 4. herder; 5. innkeeper; 6. miner; 7. sailor; 8. tailor.</t>
  </si>
  <si>
    <t>11. A nobleman (d8): 1. foolish king; 2. tyrant king; 3. wise king; 4. old lord; 5. young lord; 6. cruel prince; 7. handsome prince; 8. wealthy merchant</t>
  </si>
  <si>
    <t>12. A great beast (d8): 1. bear; 2. boar; 3. bull; 4. dragon; 5. lion; 6. ox; 7. stag; 8. wolf.</t>
  </si>
  <si>
    <t>13. A diminutive beast (d8): 1. badger; 2. cat; 3. dog; 4. fox; 5. hedgehog; 6. rat; 7. snake; 8. spider.</t>
  </si>
  <si>
    <t>14. An aquatic creature (d8): 1. crocodile; 2. frog; 3. fish; 4. mermaid; 5. octopus; 6. shark; 7. swan; 8. whale.</t>
  </si>
  <si>
    <t>15. A bird (d8): 1. dove; 2. eagle; 3. mockingbird; 4. owl; 5. raven; 6. rooster; 7. sparrow; 8. vulture.</t>
  </si>
  <si>
    <t>16. A monster (d8): 1. devil; 2. demon; 3; giant; 4. ghost; 5. goblin; 6. griffon; 7. hag; 8. ogre.</t>
  </si>
  <si>
    <t>17. An event (d8): 1. battle; 2. captivity; 3. death; 4. feast or fair; 5. illness; 6. storm; 7. tournament; 8. wedding.</t>
  </si>
  <si>
    <t>18. A wilderness location (d8): 1. cave; 2. desert; 3. forest; 4. lake; 5. mountain; 6. river; 7. sea; 8. swamp.</t>
  </si>
  <si>
    <t>19. A settlement location (d8): 1. castle; 2. garden; 3. fountain; 4. inn; 5. market; 6. tavern; 7. temple; 8. tomb.</t>
  </si>
  <si>
    <t>20. An item or object (d8): 1. coin; 2. book; 3. goblet; 4. map; 5. shield; 6. ship; 7. sword; 8. wagon.</t>
  </si>
  <si>
    <t>d10 The song is popular because...</t>
  </si>
  <si>
    <t>1. It was written by a legendary bard.</t>
  </si>
  <si>
    <t>2. It has a subversive double meaning.</t>
  </si>
  <si>
    <t>3. It was banned by a tyrannical ruler.</t>
  </si>
  <si>
    <t>4. It was banned by a priest or priestess.</t>
  </si>
  <si>
    <t>5. It has a humorous, bawdy style.</t>
  </si>
  <si>
    <t>6. It was a popular sovereign’s favorite.</t>
  </si>
  <si>
    <t>7. It was sung at a local hero’s funeral.</t>
  </si>
  <si>
    <t>8. It was sung at a magnificent wedding feast.</t>
  </si>
  <si>
    <t>9. Its lyrics are completely outrageous.</t>
  </si>
  <si>
    <t>10. No good reason; it’s just a catchy tune.</t>
  </si>
  <si>
    <t>d12 The song is common sung at...</t>
  </si>
  <si>
    <t>1. Children’s birthdays.</t>
  </si>
  <si>
    <t>2. Pubs and civic festivals.</t>
  </si>
  <si>
    <t>3. Pubs and scholarly ceremonies.</t>
  </si>
  <si>
    <t>4. Pubs and military camps.</t>
  </si>
  <si>
    <t>5. Religious ceremonies and festivals.</t>
  </si>
  <si>
    <t>6. Royal courts and tournaments..</t>
  </si>
  <si>
    <t>7. Taverns and aboard ships.</t>
  </si>
  <si>
    <t>8. Taverns and low brothels.</t>
  </si>
  <si>
    <t>9. Taverns and mining camps.</t>
  </si>
  <si>
    <t>10. Tournaments.</t>
  </si>
  <si>
    <t>11. Wakes and funerals.</t>
  </si>
  <si>
    <t>12. Weddings.</t>
  </si>
  <si>
    <t>d12 The song is often sung as...</t>
  </si>
  <si>
    <t>1. A solo without accompaniment.</t>
  </si>
  <si>
    <t>2. A solo with a single percussion instrument accompanying.</t>
  </si>
  <si>
    <t>3. A solo with a single stringed instrument accompanying.</t>
  </si>
  <si>
    <t>4. A solo with a variety of instruments accompanying.</t>
  </si>
  <si>
    <t>5. A duet with two male voices.</t>
  </si>
  <si>
    <t>6. A duet with a male and a female part.</t>
  </si>
  <si>
    <t>7. A duet with two female voices.</t>
  </si>
  <si>
    <t>8. A quartet of male voices without accompaniment.</t>
  </si>
  <si>
    <t>9. A chorus of singers with little to no instrumental accompaniment.</t>
  </si>
  <si>
    <t>10. A chorus of singers with a variety of instruments accompanying.</t>
  </si>
  <si>
    <t>11. A solo for the verses with everyone joining in for the chorus.</t>
  </si>
  <si>
    <t>12. It's rarely sung; few people know the words, but everyone knows the melody.</t>
  </si>
  <si>
    <t>d8 The song's tempo is...</t>
  </si>
  <si>
    <t>1. Ponderous.</t>
  </si>
  <si>
    <t>2. Slow and steady.</t>
  </si>
  <si>
    <t>3. Andante.</t>
  </si>
  <si>
    <t>4. Allegro.</t>
  </si>
  <si>
    <t>5. Lively.</t>
  </si>
  <si>
    <t>6. Lilting.</t>
  </si>
  <si>
    <t>7. Fast-paced.</t>
  </si>
  <si>
    <t>8. Frenetic.</t>
  </si>
  <si>
    <t>d6 The song's melody is...</t>
  </si>
  <si>
    <t>1. Dominated by punctuating rhythm.</t>
  </si>
  <si>
    <t>2. Not so memorable as its harmonies.</t>
  </si>
  <si>
    <t>3. Hauntingly beautiful.</t>
  </si>
  <si>
    <t>4. Simple and easy to pick up.</t>
  </si>
  <si>
    <t>5. Incredibly catchy.</t>
  </si>
  <si>
    <t>6. Variable, depending on who's singing.</t>
  </si>
  <si>
    <t>Random Military Camps</t>
  </si>
  <si>
    <t>d10 This tent is functions as...</t>
  </si>
  <si>
    <t>1. Barracks.</t>
  </si>
  <si>
    <t>2. A chapel or shrine.</t>
  </si>
  <si>
    <t>3. A forge (d4): 1. armorer; 2. blacksmith; 3. farrier; 4. swordmaker.</t>
  </si>
  <si>
    <t>4. An infirmary or surgeons’ office.</t>
  </si>
  <si>
    <t>5. A mess hall.</t>
  </si>
  <si>
    <t>6. Officers’ quarters.</t>
  </si>
  <si>
    <t>7. Officers’ mess.</t>
  </si>
  <si>
    <t>8. A supply tent (d4): 1. armory; 2. building materials; 3. food, 4. water.</t>
  </si>
  <si>
    <t>9. A stable or kennel.</t>
  </si>
  <si>
    <t>10. A workshop (d4): 1. cartwright; 2. fletcher; 3. leatherworker; 4. siege engineer.</t>
  </si>
  <si>
    <t>d12 Other Landmarks: You see...</t>
  </si>
  <si>
    <t>1. A corral or wagon yard.</t>
  </si>
  <si>
    <t>2. A guard post or watch tower.</t>
  </si>
  <si>
    <t>3. A gatehouse.</t>
  </si>
  <si>
    <t>4. Tables that serve as an outdoor mess hall.</t>
  </si>
  <si>
    <t>5. A drill yard.</t>
  </si>
  <si>
    <t>6. A target range or sparring pit.</t>
  </si>
  <si>
    <t>7. Water wells.</t>
  </si>
  <si>
    <t>8. A privy or waste pit.</t>
  </si>
  <si>
    <t>9. An outdoor forge or workshop.</t>
  </si>
  <si>
    <t>10. A stockade or jail.</t>
  </si>
  <si>
    <t>11. Animal pens.</t>
  </si>
  <si>
    <t>12. Graves.</t>
  </si>
  <si>
    <t>d6 The camp’s mounts include...</t>
  </si>
  <si>
    <t>1. Camels.</t>
  </si>
  <si>
    <t>2. Large draft horses.</t>
  </si>
  <si>
    <t>3. Reliable garrons.</t>
  </si>
  <si>
    <t>4. Quick-footed palfreys.</t>
  </si>
  <si>
    <t>5. Huge destriers.</t>
  </si>
  <si>
    <t>6. Exotic mounts (d6): 1. bears; 2. bison; 3. elephants; 4. elk; 5. giant lizards; 6. zebras.</t>
  </si>
  <si>
    <t>d6 As hunting or war beasts, the camp has...</t>
  </si>
  <si>
    <t>1. Falcons.</t>
  </si>
  <si>
    <t>2. Fighting dogs.</t>
  </si>
  <si>
    <t>3. Hounds.</t>
  </si>
  <si>
    <t>4. Terriers.</t>
  </si>
  <si>
    <t>5. Wolves.</t>
  </si>
  <si>
    <t>6. Exotic beasts (d10): 1. boars; 2. dire rats; 3. dire wolves; 4. drakes; 5. eagles; 6. lions; 7. owlbears; 8. ravens; 9. tigers; 10. wargs.</t>
  </si>
  <si>
    <t>d6 The camp’s general mood is...</t>
  </si>
  <si>
    <t>2. Solemn; badly outnumbered, battle is nigh.</t>
  </si>
  <si>
    <t>3. Foul; morale is bad, and provisions are low.</t>
  </si>
  <si>
    <t>4. Tired; the journey is long and longer yet.</t>
  </si>
  <si>
    <t>5. Eager; great plunder waits at journey’s end.</t>
  </si>
  <si>
    <t>6. Cheerful; victory is all but certain.</t>
  </si>
  <si>
    <t>COMMANDER</t>
  </si>
  <si>
    <t>d6 The commander is...</t>
  </si>
  <si>
    <t>1. A brilliant strategist.</t>
  </si>
  <si>
    <t>d6 The commander is looking for...</t>
  </si>
  <si>
    <t>1. Information regarding enemy positioning.</t>
  </si>
  <si>
    <t>2. Information regarding the terrain ahead.</t>
  </si>
  <si>
    <t>3. Reinforcements or new recruits.</t>
  </si>
  <si>
    <t>4. News of his hometown.</t>
  </si>
  <si>
    <t>6. Drinking companions and storytellers.</t>
  </si>
  <si>
    <t>d4 The commander is trying to avoid...</t>
  </si>
  <si>
    <t>1. Barbarians.</t>
  </si>
  <si>
    <t>2. Bandits.</t>
  </si>
  <si>
    <t>3. The enemy army.</t>
  </si>
  <si>
    <t>4. Hazardous terrain.</t>
  </si>
  <si>
    <t>d6 The commander carries...</t>
  </si>
  <si>
    <t>SOLDIER</t>
  </si>
  <si>
    <t>d6 The soldier fights for...</t>
  </si>
  <si>
    <t>2. Pure bloodlust.</t>
  </si>
  <si>
    <t>3. A chance to escape from life imprisonment.</t>
  </si>
  <si>
    <t>4. A chance at vengeance.</t>
  </si>
  <si>
    <t>5. God and country.</t>
  </si>
  <si>
    <t>6. Fortune and glory.</t>
  </si>
  <si>
    <t>d4 On the soldier’s face is...</t>
  </si>
  <si>
    <t>d4 The soldier carries…</t>
  </si>
  <si>
    <t>4. A ribbon from a faraway maiden.</t>
  </si>
  <si>
    <t>SCOUT</t>
  </si>
  <si>
    <t>d4 The scout is...</t>
  </si>
  <si>
    <t>1. A daring ranger.</t>
  </si>
  <si>
    <t>3. An expert tracker.</t>
  </si>
  <si>
    <t>4. A brutal warrior.</t>
  </si>
  <si>
    <t>d4 The scout is looking to...</t>
  </si>
  <si>
    <t>1. Help the camp slaughter the enemy.</t>
  </si>
  <si>
    <t>2. Keep the camp from marching into a trap.</t>
  </si>
  <si>
    <t>3. Hear word of enemy patrols and wild game.</t>
  </si>
  <si>
    <t>d4 The scout carries...</t>
  </si>
  <si>
    <t>1. A map with notes scrawled all over it.</t>
  </si>
  <si>
    <t>3. A longbow and a quiver of arrows.</t>
  </si>
  <si>
    <t>4. A large knife and climbing gear.</t>
  </si>
  <si>
    <t>ARMORER</t>
  </si>
  <si>
    <t>d4 The armorer is...</t>
  </si>
  <si>
    <t>2. A blacksmith with some militia experience.</t>
  </si>
  <si>
    <t>3. A farrier with little experience with weapons.</t>
  </si>
  <si>
    <t>d4 The armorer is looking for...</t>
  </si>
  <si>
    <t>1. A new apprentice or a journeyman assistant.</t>
  </si>
  <si>
    <t>2. Rare metals.</t>
  </si>
  <si>
    <t>d4 The armorsmith carries...</t>
  </si>
  <si>
    <t>2. A metal trinket made by the armorer.</t>
  </si>
  <si>
    <t>3. A contract for a set of special plate armor.</t>
  </si>
  <si>
    <t>QUARTERMASTER</t>
  </si>
  <si>
    <t>d4 The quartermaster is...</t>
  </si>
  <si>
    <t>2. A member of a prominent family.</t>
  </si>
  <si>
    <t>3. A survivor of a terrible battle wound.</t>
  </si>
  <si>
    <t>4. Secretly a coward.</t>
  </si>
  <si>
    <t>d4 The quartermaster seeks someone to...</t>
  </si>
  <si>
    <t>2. Purchase contraband items.</t>
  </si>
  <si>
    <t>d4 Currency: The quartermaster trades in...</t>
  </si>
  <si>
    <t>1. Coins.</t>
  </si>
  <si>
    <t>2. Gems and trinkets.</t>
  </si>
  <si>
    <t>3. Meat, foraged roots, and other provisions.</t>
  </si>
  <si>
    <t>4. Bones, scalps, teeth, or other grisly trophies.</t>
  </si>
  <si>
    <t>STABLE HAND / SQUIRE / VALET</t>
  </si>
  <si>
    <t>d8 The servant is...</t>
  </si>
  <si>
    <t>1. A squire from a noble house.</t>
  </si>
  <si>
    <t>3. A long-time valet or reformed criminal.</t>
  </si>
  <si>
    <t>7. A simple-minded stable hand.</t>
  </si>
  <si>
    <t>8. An expert on horses.</t>
  </si>
  <si>
    <t>4. A ragged beard.</t>
  </si>
  <si>
    <t>d6 The servant wants to...</t>
  </si>
  <si>
    <t>3. Show off an animal’s new trick.</t>
  </si>
  <si>
    <t>4. Train with weapons and be a hero.</t>
  </si>
  <si>
    <t>5. Earn the affection of his or her master.</t>
  </si>
  <si>
    <t>d6 The cook is looking for...</t>
  </si>
  <si>
    <t>2. Someone to try an improvised recipe.</t>
  </si>
  <si>
    <t>3. Some better ingredients.</t>
  </si>
  <si>
    <t>4. A good joke or story.</t>
  </si>
  <si>
    <t>5. Someone with whom to share some wine.</t>
  </si>
  <si>
    <t>CAMP FOLLOWER</t>
  </si>
  <si>
    <t>1. A harlot.</t>
  </si>
  <si>
    <t>3. A minstrel or storyteller.</t>
  </si>
  <si>
    <t>4. A peddler.</t>
  </si>
  <si>
    <t>5. A preacher.</t>
  </si>
  <si>
    <t>6. A refugee.</t>
  </si>
  <si>
    <t>d4 The traveler is seeking...</t>
  </si>
  <si>
    <t>1. To find a long lost friend or family member.</t>
  </si>
  <si>
    <t>2. To escape from a troubled past.</t>
  </si>
  <si>
    <t>3. To gain revenge against a bitter rival.</t>
  </si>
  <si>
    <t>4. To survive the war and start over.</t>
  </si>
  <si>
    <t>1. A little company.</t>
  </si>
  <si>
    <t>2. An opportunity to earn a little coin.</t>
  </si>
  <si>
    <t>Random Savage Hordes</t>
  </si>
  <si>
    <t>d6 The barbarians are...</t>
  </si>
  <si>
    <t>1. A tribe of nomads, following game.</t>
  </si>
  <si>
    <t>2. A tribe that began raiding after being displaced from their native lands.</t>
  </si>
  <si>
    <t>3. A clan exiled from their native lands.</t>
  </si>
  <si>
    <t>4. A clan in the service of a sovereign.</t>
  </si>
  <si>
    <t>5. A confederacy of related tribes or clans.</t>
  </si>
  <si>
    <t>6. The degenerate survivors of a broken army.</t>
  </si>
  <si>
    <t>d6 The barbarians travel...</t>
  </si>
  <si>
    <t>1. On foot.</t>
  </si>
  <si>
    <t>2. On foot with small carts.</t>
  </si>
  <si>
    <t>3. On foot with mounted scouts.</t>
  </si>
  <si>
    <t>4. On mounts.</t>
  </si>
  <si>
    <t>5. On mounts with wagons.</t>
  </si>
  <si>
    <t>6. In small watercraft.</t>
  </si>
  <si>
    <t>d8 The barbarians value...</t>
  </si>
  <si>
    <t>1. Bravery.</t>
  </si>
  <si>
    <t>2. Strength.</t>
  </si>
  <si>
    <t>3. Wisdom.</t>
  </si>
  <si>
    <t>4. Virility.</t>
  </si>
  <si>
    <t>5. Honoring the gods.</t>
  </si>
  <si>
    <t>6. Honoring their ancestors.</t>
  </si>
  <si>
    <t>7. Battle-scars.</t>
  </si>
  <si>
    <t>8. Kill counts.</t>
  </si>
  <si>
    <t>d4 The barbarians’ iconography features...</t>
  </si>
  <si>
    <t>1. Symbols of death and destruction (d8): 1. bats; 2. bones; 3. crows; 4. flames; 5. ghosts; 6. scorpions; 7. skulls; 8. vultures.</t>
  </si>
  <si>
    <t>2. Symbols of the heavens (d6): 1. clouds; 2. lightning; 3. moon; 4. snow; 5. stars; 6. sun.</t>
  </si>
  <si>
    <t>3. Symbols of strength and weaponry (d6): 1. arrows; 2. axes; 3. fists; 4. spears; 5. stones; 6. swords.</t>
  </si>
  <si>
    <t>4. Totem beasts (d8): 1. bears; 2. boars; 3. eagles; 4. horses; 5. lions; 6. owls; 7. snakes; 8. wolves.</t>
  </si>
  <si>
    <t>d10 The barbarians’ leader is...</t>
  </si>
  <si>
    <t>1. A well-respected chief.</t>
  </si>
  <si>
    <t>2. A charismatic warlord.</t>
  </si>
  <si>
    <t>3. A mysterious prophet.</t>
  </si>
  <si>
    <t>4. A descendent of an honored hero.</t>
  </si>
  <si>
    <t>5. A ruthless killer.</t>
  </si>
  <si>
    <t>6. A brutish thug.</t>
  </si>
  <si>
    <t>7. An impatient young warrior.</t>
  </si>
  <si>
    <t>8. A wise old man.</t>
  </si>
  <si>
    <t>9. A celebrated war hero.</t>
  </si>
  <si>
    <t>10. A prolific lover.</t>
  </si>
  <si>
    <t>d10 The barbarians fear...</t>
  </si>
  <si>
    <t>1. Foreigners wearing a particular color of clothing (d8): 1. red; 2. gold; 3. green; 4. blue; 5. purple; 6. white; 7. black; 8. grey.</t>
  </si>
  <si>
    <t>2. Foreigners armored in steel.</t>
  </si>
  <si>
    <t>3. Foreigners with facial hair.</t>
  </si>
  <si>
    <t>4. Foreign women.</t>
  </si>
  <si>
    <t>5. All foreigners.</t>
  </si>
  <si>
    <t>6. Members of a particular race (d4): 1. dwarves; 2. elves; 3. goblinoids; 4. reptilian humanoids.</t>
  </si>
  <si>
    <t>7. A particular natural phenomenon (d6): 1. blizzards; 2. earthquakes; 3. floods; 4. thunderstorms; 5. volcanoes; 6. typhoons.</t>
  </si>
  <si>
    <t>8. Spellcasters.</t>
  </si>
  <si>
    <t>9. The gods.</t>
  </si>
  <si>
    <t>10. Dragons.</t>
  </si>
  <si>
    <t>d10 The barbarians are notorious for...</t>
  </si>
  <si>
    <t>2. Feeding prisoners to wild beasts.</t>
  </si>
  <si>
    <t>3. Tattooing or branding prisoners.</t>
  </si>
  <si>
    <t>4. Scalping enemies.</t>
  </si>
  <si>
    <t>5. Flaying enemies.</t>
  </si>
  <si>
    <t>6. Raiding and burning villages.</t>
  </si>
  <si>
    <t>7. Plundering merchant caravans.</t>
  </si>
  <si>
    <t>8. Eating prisoners.</t>
  </si>
  <si>
    <t>9. Claiming prisoners as slaves.</t>
  </si>
  <si>
    <t>10. Taking prisoners as wives, concubines, or catamites.</t>
  </si>
  <si>
    <t>d10 The barbarians are known for...</t>
  </si>
  <si>
    <t>1. Screaming and shouting during battle.</t>
  </si>
  <si>
    <t>2. Convening with ghosts and spirits.</t>
  </si>
  <si>
    <t>3. Ritual animal sacrifice.</t>
  </si>
  <si>
    <t>4. Ritual human sacrifice.</t>
  </si>
  <si>
    <t>5. Ritualistic blood-letting.</t>
  </si>
  <si>
    <t>6. Ritualistic sexual acts.</t>
  </si>
  <si>
    <t>7. Eating unusual meats.</t>
  </si>
  <si>
    <t>8. Prolific amounts of drinking.</t>
  </si>
  <si>
    <t>9. Never cutting their hair.</t>
  </si>
  <si>
    <t>10. Shaving their heads and bodies.</t>
  </si>
  <si>
    <t>11. Never bathing.</t>
  </si>
  <si>
    <t>12. Bathing and perfuming their bodies.</t>
  </si>
  <si>
    <t>d6 The barbarians’ attitude is...</t>
  </si>
  <si>
    <t>1. Rowdy and festive.</t>
  </si>
  <si>
    <t>2. Joyful and eager to fight.</t>
  </si>
  <si>
    <t>3. Relaxed and carefree.</t>
  </si>
  <si>
    <t>4. Frightened and suspicious.</t>
  </si>
  <si>
    <t>5. Hostile and suspicious.</t>
  </si>
  <si>
    <t>6. Hostile and eager to fight.</t>
  </si>
  <si>
    <t>12. A favorite among the ladies.</t>
  </si>
  <si>
    <t>3. An empty eye socket.</t>
  </si>
  <si>
    <t>4. A grisly scar.</t>
  </si>
  <si>
    <t>6. A look of sadness.</t>
  </si>
  <si>
    <t>11. An unruly beard.</t>
  </si>
  <si>
    <t>You have heard of the adventurer in front of you because...</t>
  </si>
  <si>
    <t>D10 Barbarian</t>
  </si>
  <si>
    <t>1. He was the muscle in a crack commando unit.</t>
  </si>
  <si>
    <t>2. He's waging a one man war against the evil hill giants plaguing his tribes lands.</t>
  </si>
  <si>
    <t>3. His rough exterior hides a jolly friendly soul.</t>
  </si>
  <si>
    <t>4. He wears the skulls of his fallen enemies as adornments on his armor.</t>
  </si>
  <si>
    <t>5. His tribe pillaged a frontier fort recently. They left no survivors.</t>
  </si>
  <si>
    <t>6. He was surrounded by six of the kings best soldiers. He killed them, then ate their hearts and drank their blood.</t>
  </si>
  <si>
    <t>7. He's actually an animal, chief of a tribe of lycanthropes.</t>
  </si>
  <si>
    <t>8. His endurance is legendary. He wrestled a dragon for two nights and two days straight.</t>
  </si>
  <si>
    <t>9. His endurance is legendary. He wrestled his way through the entire red light district in two days and two nights.</t>
  </si>
  <si>
    <t>10. He's a ferocious berserker who loses all control in combat.</t>
  </si>
  <si>
    <t>D10 Bard</t>
  </si>
  <si>
    <t>1. He and his troop were sent up river for a crime they didn't commit.</t>
  </si>
  <si>
    <t>2. He moonlights as a thief. Everyone knows, but so far no one has been able to catch him in the act.</t>
  </si>
  <si>
    <t>3. He's on the run after using his honeyed words to cause a schism in the next kingdom.</t>
  </si>
  <si>
    <t>4. He moonlights as a vigilante do-gooder.</t>
  </si>
  <si>
    <t>5. He's a master of the old lore and spends his time spreading his knowledge among the villages.</t>
  </si>
  <si>
    <t>6. He's a dashing knave the tyrannical king has not been able to catch yet, and his poetic broadsheets periodically appear in public places mocking the government.</t>
  </si>
  <si>
    <t>7. He has a voice that could entrance even the most shrewish of the king's daughters.</t>
  </si>
  <si>
    <t>8. He's a washed up has been and hasn't been held in high esteem for many years.</t>
  </si>
  <si>
    <t>9. His music is the latest fashion and his name is on everyone's lips.</t>
  </si>
  <si>
    <t>10. He mostly just moonlights, wink wink nudge nudge.</t>
  </si>
  <si>
    <t>D10 Cleric</t>
  </si>
  <si>
    <t>1. His church is one of the few safe places in the region.</t>
  </si>
  <si>
    <t>2. He's a kind-hearted man who helps all in need.</t>
  </si>
  <si>
    <t>3. He moved heaven and earth to revive fallen heroes in his city's time of need.</t>
  </si>
  <si>
    <t>4. He's a member of a fearsome cult that holds the entire countryside in terror.</t>
  </si>
  <si>
    <t>5. He hunts members of other faiths with a dark devotion, then sacrifices them to his dark god.</t>
  </si>
  <si>
    <t>6. He's a fearsome necromancer who has bound all the dead in the region to his will.</t>
  </si>
  <si>
    <t>7. He is the the high priest of his god in the region. To his followers his word is law.</t>
  </si>
  <si>
    <t>8. He's a scholar first and a priest second.</t>
  </si>
  <si>
    <t>9. He's more politically motivated than faith driven.</t>
  </si>
  <si>
    <t>10. He's a promising young convert to his religion full of fervor.</t>
  </si>
  <si>
    <t>D10 Druid</t>
  </si>
  <si>
    <t>1. He's a wise leader of a small sect of like minded druids.</t>
  </si>
  <si>
    <t>2. He's a legendary protector of a secluded community.</t>
  </si>
  <si>
    <t>3. He's an emissary who acts as a go-between for the men and elves of the kingdom, solving disputes and keeping the peace.</t>
  </si>
  <si>
    <t>4. He's a hermit, maddened by isolation, who murders travelers.</t>
  </si>
  <si>
    <t>5. He's a dark druid who kills townfolk and uses their bodies to fertilize his grove.</t>
  </si>
  <si>
    <t>6. He's a good druid driven to dark deeds by men who hold his forest home hostage.</t>
  </si>
  <si>
    <t>7. He's a noted shapeshifter who prefers his beast forms to his human form.</t>
  </si>
  <si>
    <t>8. He's claims a body that heals itself is stronger than one magically healed.</t>
  </si>
  <si>
    <t>9. His accustomed home is the harshest land in the region.</t>
  </si>
  <si>
    <t>10. He occasionally turns up in town to barter rare medicinal plants for trade goods.</t>
  </si>
  <si>
    <t>D10 Fighter</t>
  </si>
  <si>
    <t>1. He was drummed out of the king's legion and was sent to prison by a military court.</t>
  </si>
  <si>
    <t>2. His skills are rumored to be a fraud, but no one has come forward with proof.</t>
  </si>
  <si>
    <t>3. He's a dangerous hired killer. For the right price he'll take any dirty job.</t>
  </si>
  <si>
    <t>4. He's a mercenary giant killer. His prices are exorbitant, but he's worth the money. The common folk consider him a hero.</t>
  </si>
  <si>
    <t>5. He's an up-and-coming dragon slaying folk hero. He's in it for personal reasons. The king fears he'll draw negative attention.</t>
  </si>
  <si>
    <t>6. He's a wandering troubleshooter. He's got a good heart, but even good folks have to have money to eat.</t>
  </si>
  <si>
    <t>7. He's a slow witted thug. Only the simple things in life, money, fighting, wenching, interest him.</t>
  </si>
  <si>
    <t>8. He's the best swordsman in the land and the right arm of the king.</t>
  </si>
  <si>
    <t>9. He's a hard bitten mercenary with a keen mind for stacking the odds.</t>
  </si>
  <si>
    <t>10. His weapon is a legendary artifact recovered during a dangerous quest.</t>
  </si>
  <si>
    <t>D10 Monk</t>
  </si>
  <si>
    <t>1. He's a member of an order sworn to poverty.</t>
  </si>
  <si>
    <t>2. He's a member of an order rumored to be sitting on a great treasure despite appearances of poverty.</t>
  </si>
  <si>
    <t>3. He's traveling the roads searching for an experience that will grant him enlightenment.</t>
  </si>
  <si>
    <t>4. He's a famous master of hand to hand combat. A drunken master.</t>
  </si>
  <si>
    <t>5. He's a wandering neophyte on a quest to prove himself to the monastery by doing good for others.</t>
  </si>
  <si>
    <t>6. His wisdom is legendary and people travel far and wide to seek his advice.</t>
  </si>
  <si>
    <t>7. His monastery is a safe home for the lost, the weary, and those orphaned by war or tragedy.</t>
  </si>
  <si>
    <t>8. He's a sworn killer serving a death cult.</t>
  </si>
  <si>
    <t>9. He's a mage killer sworn to the service of a dark master.</t>
  </si>
  <si>
    <t>10. He's a master of an evil and forbidden technique.</t>
  </si>
  <si>
    <t>D10 Paladin</t>
  </si>
  <si>
    <t>1. He's the one you can turn to if you have a problem, if no one else can help.</t>
  </si>
  <si>
    <t>2. He's a traditionalist armed with gleaming sword and polished shield.</t>
  </si>
  <si>
    <t>3. His weapon is a legendary artifact of good.</t>
  </si>
  <si>
    <t>4. He's a grey guard who cares more about the ends than the means.</t>
  </si>
  <si>
    <t>5. He's the champion of a dark, forgotten god.</t>
  </si>
  <si>
    <t>6. He's a champion of a dark god feared through the entire realm.</t>
  </si>
  <si>
    <t>7. He's a knight errant on a quest for his liege.</t>
  </si>
  <si>
    <t>8. He's a hard bitten monster hunter who only shows up when times are desperate.</t>
  </si>
  <si>
    <t>9. He's a famous dragon slayer.</t>
  </si>
  <si>
    <t>10. He never accepts payment for his aid.</t>
  </si>
  <si>
    <t>D10 Ranger</t>
  </si>
  <si>
    <t>1. His men are often willing to help if your cause is just and if you can find them.</t>
  </si>
  <si>
    <t>2. He's famous for slaying a dangerous beast that was preying on travelers along the roads.</t>
  </si>
  <si>
    <t>3. To the local orc tribes he's a boogeyman.</t>
  </si>
  <si>
    <t>4. He's a brutal bandit who strikes from hiding and never leaves survivors.</t>
  </si>
  <si>
    <t>5. He's a deceitful wanderer who hires himself as a caravan guide and leads innocents into ambushes of men and beasts.</t>
  </si>
  <si>
    <t>6. He hunts men and elves to harvest their organs, which he sells to mages for use in the most vile of spells.</t>
  </si>
  <si>
    <t>7. He's a sought after guide to the local wilderness.</t>
  </si>
  <si>
    <t>8. He is a legendary tamer of beasts. His animal companion is a legend in its own right.</t>
  </si>
  <si>
    <t>9. He's a well known army scout who retired a few years ago.</t>
  </si>
  <si>
    <t>10. The common folk pay him to protect their village from marauding humanoids.</t>
  </si>
  <si>
    <t>D10 Rogue</t>
  </si>
  <si>
    <t>1. Shortly after being imprisoned, he promptly escaped from a maximum security stockade.</t>
  </si>
  <si>
    <t>2. He has more treasure than the king stashed away in a dozen murky hiding places.</t>
  </si>
  <si>
    <t>3. He's due to be hanged in a few days. It seems he has escaped.</t>
  </si>
  <si>
    <t>4. He's a kleptomaniac, often weighted down with hot goods he needs to sell to anyone, at any price.</t>
  </si>
  <si>
    <t>5. He's well known to the locals as a knave who cons newcomers.</t>
  </si>
  <si>
    <t>6. The common folk are facing reprisals from the king as a result of his predations.</t>
  </si>
  <si>
    <t>7. He's a dangerous assassin who keeps grudges.</t>
  </si>
  <si>
    <t>8. He stole a legendary artifact from the lair of an evil death cult.</t>
  </si>
  <si>
    <t>9. He's a rebel do-gooder in a tyrannical kingdom and wooed the Baron's daughter to the rebel cause.</t>
  </si>
  <si>
    <t>10. The common folk overlook his more petty crimes because he tricked a group of bandits threatening the town into leaving.</t>
  </si>
  <si>
    <t>D10 Sorcerer</t>
  </si>
  <si>
    <t>1. Because no wizard academy will take him, he and his apprentices survive as soldiers of fortune.</t>
  </si>
  <si>
    <t>2. He's the heir of a powerful dragon.</t>
  </si>
  <si>
    <t>3. He has a strong preference for certain types of elemental attacks.</t>
  </si>
  <si>
    <t>4. His back is rumored to be covered in tattoos that move on their own.</t>
  </si>
  <si>
    <t>5. His wild an impulsive nature make him a dangerous agent for the side of good. There have been accidents.</t>
  </si>
  <si>
    <t>6. Although a practitioner of wild magic, he's actually a consummate scholar and researcher.</t>
  </si>
  <si>
    <t>7. He used his magic to help save the city from a besieging army of humanoids.</t>
  </si>
  <si>
    <t>8. He's a legendary monster. He used his magic to tear down the walls of a city and let an army of humanoids inside.</t>
  </si>
  <si>
    <t>9. He's part of a dark cult, raised from birth to take advantage of the magic in his blood.</t>
  </si>
  <si>
    <t>10. He lives for the thrill of combat.</t>
  </si>
  <si>
    <t>D10 Warlock</t>
  </si>
  <si>
    <t>1. For his crimes, he is still wanted by the government.</t>
  </si>
  <si>
    <t>2. He's the right hand of his evil patron in this world.</t>
  </si>
  <si>
    <t>3. No one knows how he got his powers, but the rumors are grisly.</t>
  </si>
  <si>
    <t>4. They say he's managed to subvert his patron and is now in control, using his powers for good. For now.</t>
  </si>
  <si>
    <t>5. He's turned his dark powers toward destroying even more frightening things than himself. The common folk fear its not for their benefit.</t>
  </si>
  <si>
    <t>6. He's not a full cleric, but his patron is a celestial.</t>
  </si>
  <si>
    <t>7. At night his patron takes control of his body.</t>
  </si>
  <si>
    <t>8. His eyes are empty of all humanity, and he makes choices with alien logic.</t>
  </si>
  <si>
    <t>9. Something even more powerful killed his patron and now he's unsure of his place in the world.</t>
  </si>
  <si>
    <t>10. He built a legendary temple to his patron in the wilds, protected by strange magics.</t>
  </si>
  <si>
    <t>D10 Wizard</t>
  </si>
  <si>
    <t>1. He used his magic to fend off an attack on the city by dark forces.</t>
  </si>
  <si>
    <t>2. He is the right hand of the king, a beloved ruler.</t>
  </si>
  <si>
    <t>3. He is the beloved head of the University and a master of it's library.</t>
  </si>
  <si>
    <t>4. He's hated necromancer, wanted for grave robbing.</t>
  </si>
  <si>
    <t>5. He's a con-man using magic to fleece the unwary.</t>
  </si>
  <si>
    <t>6. He's a legendary terror who nearly brought the kingdom to its knees not long ago.</t>
  </si>
  <si>
    <t>7. He's a noted traveler of the outer planes and has published several books on the subject.</t>
  </si>
  <si>
    <t>8. He's a collector of ancient lore, happy to accompany adventurers into a dungeon, or pay them for information they have recovered.</t>
  </si>
  <si>
    <t>9. He's a famous war mage with a quick temper. His familiar is a holy terror.</t>
  </si>
  <si>
    <t>10. He's a drunk with dangerous knowledge.</t>
  </si>
  <si>
    <t>Random Military Companies</t>
  </si>
  <si>
    <t>d20 The company’s colors are...</t>
  </si>
  <si>
    <t>d20 The company’s banner features...</t>
  </si>
  <si>
    <t>2. A clenched fist.</t>
  </si>
  <si>
    <t>4. A shield.</t>
  </si>
  <si>
    <t>6. An axe.</t>
  </si>
  <si>
    <t>7. A hammer.</t>
  </si>
  <si>
    <t>8. A sword.</t>
  </si>
  <si>
    <t>9. The sun.</t>
  </si>
  <si>
    <t>10. The moon.</t>
  </si>
  <si>
    <t>11. A bear.</t>
  </si>
  <si>
    <t>12. A bull.</t>
  </si>
  <si>
    <t>13. A dragon.</t>
  </si>
  <si>
    <t>14. A falcon.</t>
  </si>
  <si>
    <t>15. A lion.</t>
  </si>
  <si>
    <t>16. A raven.</t>
  </si>
  <si>
    <t>17. A scorpion.</t>
  </si>
  <si>
    <t>18. A snake.</t>
  </si>
  <si>
    <t>19. A stag.</t>
  </si>
  <si>
    <t>20. A wolf.</t>
  </si>
  <si>
    <t>d10 The company’s commander is...</t>
  </si>
  <si>
    <t>7. A disgraced knight.</t>
  </si>
  <si>
    <t>8. An anointed knight.</t>
  </si>
  <si>
    <t>9. A career soldier</t>
  </si>
  <si>
    <t>10. A former arena champion.</t>
  </si>
  <si>
    <t>d6 The company’s attitude toward their commander is...</t>
  </si>
  <si>
    <t>3.  Cautious and uncertain.</t>
  </si>
  <si>
    <t>4.  Terrified and tight-lipped.</t>
  </si>
  <si>
    <t>5. Disappointed and disrespectful.</t>
  </si>
  <si>
    <t>6.  Agitated and restless.</t>
  </si>
  <si>
    <t>d8 The company specializes in...</t>
  </si>
  <si>
    <t>1. Siege-breaking.</t>
  </si>
  <si>
    <t>2. Holding redoubts.</t>
  </si>
  <si>
    <t>3. Frontal assaults.</t>
  </si>
  <si>
    <t>4. Skirmishes.</t>
  </si>
  <si>
    <t>5. Patrolling.</t>
  </si>
  <si>
    <t>6. Flanking maneuvers.</t>
  </si>
  <si>
    <t>7. Guerilla tactics.</t>
  </si>
  <si>
    <t>8.  Foraging.</t>
  </si>
  <si>
    <t>d8 The company is notorious for...</t>
  </si>
  <si>
    <t>1.  Taking no prisoners.</t>
  </si>
  <si>
    <t>2.  Scarring or branding prisoners.</t>
  </si>
  <si>
    <t>3.  Incompetence.</t>
  </si>
  <si>
    <t>4.  Cowardice.</t>
  </si>
  <si>
    <t>5. Singing bawdy songs.</t>
  </si>
  <si>
    <t>7.  Eating everything that is available.</t>
  </si>
  <si>
    <t>8. Drinking too much ale and wine.</t>
  </si>
  <si>
    <t>d6 Most soldiers in the company are outfitted with...</t>
  </si>
  <si>
    <t>1. Patched leather armor.</t>
  </si>
  <si>
    <t>2. Leather armor marked with the symbol of their liege lord.</t>
  </si>
  <si>
    <t>3. Helms and breastplates emblazoned with the symbol of their liege lord.</t>
  </si>
  <si>
    <t>4. Well-maintained chainmail.</t>
  </si>
  <si>
    <t>5. Well-worn scale armor.</t>
  </si>
  <si>
    <t>6. Newly-forged scale armor.</t>
  </si>
  <si>
    <t>d12 Most soldiers in the company are equipped with...</t>
  </si>
  <si>
    <t>4. Shortswords and longbows.</t>
  </si>
  <si>
    <t>5. Shortswords and shields.</t>
  </si>
  <si>
    <t>6. Mornngstars and crossbows.</t>
  </si>
  <si>
    <t>7. Battleaxes and handaxes.</t>
  </si>
  <si>
    <t>8. Warhammers and shields.</t>
  </si>
  <si>
    <t>9. Spears and shields.</t>
  </si>
  <si>
    <t>10. Longspears and shortswords.</t>
  </si>
  <si>
    <t>11. Pikes and shortswords.</t>
  </si>
  <si>
    <t>12. Halberds and handaxes.</t>
  </si>
  <si>
    <t>d8 Most soldiers in the company are...</t>
  </si>
  <si>
    <t>1. Trained men-at-arms.</t>
  </si>
  <si>
    <t>2. Militia men.</t>
  </si>
  <si>
    <t>3. Veterans of war.</t>
  </si>
  <si>
    <t>4. Prisoners of war.</t>
  </si>
  <si>
    <t>5. Conscripts from a city.</t>
  </si>
  <si>
    <t>6. Conscripts from peasant villages.</t>
  </si>
  <si>
    <t>7. Convicted criminals.</t>
  </si>
  <si>
    <t>8. Green boys.</t>
  </si>
  <si>
    <t>INDIVIDUAL SOLDIERS</t>
  </si>
  <si>
    <t>d12 The soldier is...</t>
  </si>
  <si>
    <t>3. A veteran of gladiatorial combat.</t>
  </si>
  <si>
    <t>4. A veteran of warfare.</t>
  </si>
  <si>
    <t>6. A political dissident.</t>
  </si>
  <si>
    <t>7. The son of a poor man.</t>
  </si>
  <si>
    <t>8. A drunk.</t>
  </si>
  <si>
    <t>9. A fugitive criminal.</t>
  </si>
  <si>
    <t>10. A former pirate.</t>
  </si>
  <si>
    <t>11. A failed craftsman.</t>
  </si>
  <si>
    <t>d12 The soldier fights for...</t>
  </si>
  <si>
    <t>2. The love of someone he cannot have.</t>
  </si>
  <si>
    <t>3. Pure bloodlust.</t>
  </si>
  <si>
    <t>4. A chance to deal out sadistic torment.</t>
  </si>
  <si>
    <t>5. A chance at vengeance.</t>
  </si>
  <si>
    <t>6. Gold to repay debts.</t>
  </si>
  <si>
    <t>7. Gold to aid a family member.</t>
  </si>
  <si>
    <t>8. A chance to escape from life imprisonment.</t>
  </si>
  <si>
    <t>9. A chance at redemption.</t>
  </si>
  <si>
    <t>10. God and country.</t>
  </si>
  <si>
    <t>11. Fortune and glory.</t>
  </si>
  <si>
    <t>12. Strength and honor.</t>
  </si>
  <si>
    <t>d12 On the soldier’s face is...</t>
  </si>
  <si>
    <t>2. An eyepatch.</t>
  </si>
  <si>
    <t>3. An unsightly scar.</t>
  </si>
  <si>
    <t>4. A haughty sneer.</t>
  </si>
  <si>
    <t>5. A look of sadness.</t>
  </si>
  <si>
    <t>6. A stupid grin.</t>
  </si>
  <si>
    <t>7. An eager grin.</t>
  </si>
  <si>
    <t>8. A frame of long, beautiful long hair.</t>
  </si>
  <si>
    <t>9. Ferocious sideburns.</t>
  </si>
  <si>
    <t>10. A neatly-trimmed goatee.</t>
  </si>
  <si>
    <t>12. A lush, thick mustache.</t>
  </si>
  <si>
    <t>d10 The soldier carries...</t>
  </si>
  <si>
    <t>6. A token from a sweetheart.</t>
  </si>
  <si>
    <t>7. A token from a parent.</t>
  </si>
  <si>
    <t>8. A letter from a fallen comrade.</t>
  </si>
  <si>
    <t>9. A trophy from a fallen enemy.</t>
  </si>
  <si>
    <t>10. A ribbon from a faraway maiden.</t>
  </si>
  <si>
    <t>Random Sworn Swords</t>
  </si>
  <si>
    <t>d20 The knight’s house’s colors are...</t>
  </si>
  <si>
    <t>d8 The knight’s house's symbol is...</t>
  </si>
  <si>
    <t>d6 The knight has sworn to a noble lord or lady to...</t>
  </si>
  <si>
    <t>1. Protect that person from harm.</t>
  </si>
  <si>
    <t>2. Defend that person’s lands.</t>
  </si>
  <si>
    <t>3. Avenge that person’s grievances.</t>
  </si>
  <si>
    <t>4. Protect that person’s loved ones.</t>
  </si>
  <si>
    <t>5. Advance that person’s ideals or faith.</t>
  </si>
  <si>
    <t>6. Ride to war in that person’s name.</t>
  </si>
  <si>
    <t>d8 Above all else, the knight values...</t>
  </si>
  <si>
    <t>2. Honor.</t>
  </si>
  <si>
    <t>3. Righteousness.</t>
  </si>
  <si>
    <t>4. Strength and might.</t>
  </si>
  <si>
    <t>5. Power and tyranny.</t>
  </si>
  <si>
    <t>6. Romantic devotion.</t>
  </si>
  <si>
    <t>7. Romantic conquest.</t>
  </si>
  <si>
    <t>8. Carousing.</t>
  </si>
  <si>
    <t>d4 The knight is armored in...</t>
  </si>
  <si>
    <t>1. Studded leather armor.</t>
  </si>
  <si>
    <t>2. Chainmail.</t>
  </si>
  <si>
    <t>3. Scale armor.</t>
  </si>
  <si>
    <t>4. Plate armor.</t>
  </si>
  <si>
    <t>d6 The knight’s armor is...</t>
  </si>
  <si>
    <t>1. Shiny and new.</t>
  </si>
  <si>
    <t>2. In excellent condition.</t>
  </si>
  <si>
    <t>3. Obviously repaired, but serviceable.</t>
  </si>
  <si>
    <t>4. Covered in dings and dents.</t>
  </si>
  <si>
    <t>5. Dirty and well-worn.</t>
  </si>
  <si>
    <t>6. Barely held together.</t>
  </si>
  <si>
    <t>d12 The knight is wielding...</t>
  </si>
  <si>
    <t>1. A longsword.</t>
  </si>
  <si>
    <t>2. A longsword and a shield.</t>
  </si>
  <si>
    <t>3. Two shortswords.</t>
  </si>
  <si>
    <t>4. A shortsword and a shield.</t>
  </si>
  <si>
    <t>5. A bastard sword.</t>
  </si>
  <si>
    <t>6. A greatsword.</t>
  </si>
  <si>
    <t>7. A flail and a shield.</t>
  </si>
  <si>
    <t>8. A morningstar.</t>
  </si>
  <si>
    <t>9. A battleaxe and a shield.</t>
  </si>
  <si>
    <t>10. A warhammer and a shield.</t>
  </si>
  <si>
    <t>11. A lance and a longsword.</t>
  </si>
  <si>
    <t>12. A lance and a battleaxe.</t>
  </si>
  <si>
    <t>d6 The knight’s mount is...</t>
  </si>
  <si>
    <t>1. A huge destrier.</t>
  </si>
  <si>
    <t>2. A reliable courser.</t>
  </si>
  <si>
    <t>3. A snorting charger.</t>
  </si>
  <si>
    <t>4. A swift garron.</t>
  </si>
  <si>
    <t>5. A wickering palfrey.</t>
  </si>
  <si>
    <t>6. A nervous pony.</t>
  </si>
  <si>
    <t>d12 The knight is...</t>
  </si>
  <si>
    <t>1. A pompous windbag.</t>
  </si>
  <si>
    <t>2. A charming hero.</t>
  </si>
  <si>
    <t>3. A daring swashbuckler.</t>
  </si>
  <si>
    <t>4. A violent drunk.</t>
  </si>
  <si>
    <t>5. A brilliant strategist.</t>
  </si>
  <si>
    <t>6. A religious zealot.</t>
  </si>
  <si>
    <t>7. A beautiful youth.</t>
  </si>
  <si>
    <t>10. A popular tavern patron.</t>
  </si>
  <si>
    <t>11. A favorite among the ladies.</t>
  </si>
  <si>
    <t>12. Ruggedly handsome.</t>
  </si>
  <si>
    <t>d12 On the knight’s face is...</t>
  </si>
  <si>
    <t>1. A missing ear.</t>
  </si>
  <si>
    <t>6. A sad look.</t>
  </si>
  <si>
    <t>12. An extravagant mustache.</t>
  </si>
  <si>
    <t>d10 The knight carries...</t>
  </si>
  <si>
    <t>RETAINERS</t>
  </si>
  <si>
    <t>d12 The servant is...</t>
  </si>
  <si>
    <t>1. A squire from a powerful noble house.</t>
  </si>
  <si>
    <t>2. A squire from a minor noble house.</t>
  </si>
  <si>
    <t>3. A squire of common birth.</t>
  </si>
  <si>
    <t>4. A frightened link boy.</t>
  </si>
  <si>
    <t>5. An long-time valet.</t>
  </si>
  <si>
    <t>6. A reformed criminal-turned valet.</t>
  </si>
  <si>
    <t>7. The son of an enemy.</t>
  </si>
  <si>
    <t>8. A mysterious foreigner.</t>
  </si>
  <si>
    <t>9. A journeyman smith or armorer.</t>
  </si>
  <si>
    <t>10. A simple-minded stable hand.</t>
  </si>
  <si>
    <t>11. An expert on horses.</t>
  </si>
  <si>
    <t>12. A camp follower or harlot.</t>
  </si>
  <si>
    <t>d6 The servant works for...</t>
  </si>
  <si>
    <t>2. The adventure.</t>
  </si>
  <si>
    <t>3. The training and advancement opportunies.</t>
  </si>
  <si>
    <t>4. No reason, other than being told.</t>
  </si>
  <si>
    <t>d8 On the servant’s face is...</t>
  </si>
  <si>
    <t>7. A long, hooked nose.</t>
  </si>
  <si>
    <t>8. Pronounced ears.</t>
  </si>
  <si>
    <t>Random Princesses</t>
  </si>
  <si>
    <t>d12 The princess is the daughter of...</t>
  </si>
  <si>
    <t>1. A tyrannical king.</t>
  </si>
  <si>
    <t>2. A foolhardy king.</t>
  </si>
  <si>
    <t>3. An evil queen.</t>
  </si>
  <si>
    <t>4. A beloved queen.</t>
  </si>
  <si>
    <t>5. A benevolent monarch.</t>
  </si>
  <si>
    <t>6. A foreign monarch.</t>
  </si>
  <si>
    <t>7. A wicked sorceress.</t>
  </si>
  <si>
    <t>8. The head of an ancient noble house.</t>
  </si>
  <si>
    <t>9. A brutal warlord.</t>
  </si>
  <si>
    <t>10. A lord of middling power and influence.</t>
  </si>
  <si>
    <t>11. A wealthy merchant.</t>
  </si>
  <si>
    <t>12. A brilliant conqueror.</t>
  </si>
  <si>
    <t>d12 Everyone has heard of this princess, she is...</t>
  </si>
  <si>
    <t>1. Rather ugly.</t>
  </si>
  <si>
    <t>2. Rather vain.</t>
  </si>
  <si>
    <t>3. Comically tall.</t>
  </si>
  <si>
    <t>4. Comically fat.</t>
  </si>
  <si>
    <t>5. Extremely arrogant.</t>
  </si>
  <si>
    <t>6. Extremely rich.</t>
  </si>
  <si>
    <t>7. Known for insulting a foreign dignitary.</t>
  </si>
  <si>
    <t>8. The survivor of a horrible curse.</t>
  </si>
  <si>
    <t>9. The survivor of a terrible ordeal of captivity.</t>
  </si>
  <si>
    <t>10. A singer of legendary talent.</t>
  </si>
  <si>
    <t>11. The second most beautiful woman in the world.</t>
  </si>
  <si>
    <t>12. The most beautiful woman in the world.</t>
  </si>
  <si>
    <t>d12 The princess has...</t>
  </si>
  <si>
    <t>1. Long, dark hair.</t>
  </si>
  <si>
    <t>2. Wavy, golden hair.</t>
  </si>
  <si>
    <t>3. Neatly braided hair.</t>
  </si>
  <si>
    <t>4. Wild, curly hair.</t>
  </si>
  <si>
    <t>5. Beautiful, bright eyes.</t>
  </si>
  <si>
    <t>6. Dark, captivating eyes.</t>
  </si>
  <si>
    <t>7. An inviting smile.</t>
  </si>
  <si>
    <t>8. An arrogant sneer.</t>
  </si>
  <si>
    <t>9. Lush, full lips.</t>
  </si>
  <si>
    <t>10. Thoughtful, pursed lips.</t>
  </si>
  <si>
    <t>11. Dainty feet.</t>
  </si>
  <si>
    <t>12. Over-sized feet.</t>
  </si>
  <si>
    <t>d12 The princess's family hopes to marry her to...</t>
  </si>
  <si>
    <t>1. A wealthy lord.</t>
  </si>
  <si>
    <t>2. The crown prince.</t>
  </si>
  <si>
    <t>3. The son of a rival house.</t>
  </si>
  <si>
    <t>4. The son of an allied house.</t>
  </si>
  <si>
    <t>5. A foreign tyrant.</t>
  </si>
  <si>
    <t>6. A foreign prince.</t>
  </si>
  <si>
    <t>7. A heroic knight.</t>
  </si>
  <si>
    <t>8. A legendary military commander.</t>
  </si>
  <si>
    <t>9. An old widowed king.</t>
  </si>
  <si>
    <t>10. A rival claimant to the crown.</t>
  </si>
  <si>
    <t>11. A powerful merchant.</t>
  </si>
  <si>
    <t>12. No one; her place is at her father or mother's side.</t>
  </si>
  <si>
    <t>d12 The princess, however, can picture herself running off with...</t>
  </si>
  <si>
    <t>1. A poor farmboy.</t>
  </si>
  <si>
    <t>2. A hunky young blacksmith.</t>
  </si>
  <si>
    <t>3. A young lord of low-standing.</t>
  </si>
  <si>
    <t>4. The bastard son of a noble house.</t>
  </si>
  <si>
    <t>5. A skilled huntsman.</t>
  </si>
  <si>
    <t>6. A brilliant scholar.</t>
  </si>
  <si>
    <t>7. A sensitive priest.</t>
  </si>
  <si>
    <t>8. A handsome knight.</t>
  </si>
  <si>
    <t>9. A charming singer.</t>
  </si>
  <si>
    <t>10. A daring thief.</t>
  </si>
  <si>
    <t>11. A dashing pirate.</t>
  </si>
  <si>
    <t>12. Her favorite attendant.</t>
  </si>
  <si>
    <t>d12 The princess's closest friend and confidant is...</t>
  </si>
  <si>
    <t>1. Her mother.</t>
  </si>
  <si>
    <t>2. Her sister.</t>
  </si>
  <si>
    <t>3. Her brother.</t>
  </si>
  <si>
    <t>4. Her maid.</t>
  </si>
  <si>
    <t>5. Her chaperone.</t>
  </si>
  <si>
    <t>6. Her tutor.</t>
  </si>
  <si>
    <t>7. Her pet (d4): 1. a cat; 2. a horse; 3. a hound; 4. a songbird.</t>
  </si>
  <si>
    <t>8. The guard captain.</t>
  </si>
  <si>
    <t>9. A household knight.</t>
  </si>
  <si>
    <t>10. A priest or priestess.</t>
  </si>
  <si>
    <t>11. Her father or mother's personal nemesis.</t>
  </si>
  <si>
    <t>12. Her father or mother's fool.</t>
  </si>
  <si>
    <t>d12 The princess is well-versed in...</t>
  </si>
  <si>
    <t>1. Painting.</t>
  </si>
  <si>
    <t>2. Poetry.</t>
  </si>
  <si>
    <t>3. Dancing.</t>
  </si>
  <si>
    <t>4. Playing a musical instrument (d4): 1. flute; 2. harp; 3. harpsichord; 4. violin.</t>
  </si>
  <si>
    <t>5. Crochet or knitting.</t>
  </si>
  <si>
    <t>6. Embroidery or cross-stitch.</t>
  </si>
  <si>
    <t>7. Quilting or appliqué.</t>
  </si>
  <si>
    <t>8. Sewing or weaving.</t>
  </si>
  <si>
    <t>9. History and heraldry.</t>
  </si>
  <si>
    <t>10. Politics and diplomacy.</t>
  </si>
  <si>
    <t>11. Hymns and prayers.</t>
  </si>
  <si>
    <t>12. Seduction.</t>
  </si>
  <si>
    <t>d12 ...and she's also pretty good at...</t>
  </si>
  <si>
    <t>1. Archery.</t>
  </si>
  <si>
    <t>2. Swordplay.</t>
  </si>
  <si>
    <t>3. Falconry.</t>
  </si>
  <si>
    <t>4. Hunting and tracking.</t>
  </si>
  <si>
    <t>5. Horseback riding.</t>
  </si>
  <si>
    <t>6. Sailing.</t>
  </si>
  <si>
    <t>7. Drinking.</t>
  </si>
  <si>
    <t>8. Spells and potions.</t>
  </si>
  <si>
    <t>9. Making inappropriate, but witty jokes.</t>
  </si>
  <si>
    <t>10. Impersonation.</t>
  </si>
  <si>
    <t>11. Lying.</t>
  </si>
  <si>
    <t>12. Sneaking.</t>
  </si>
  <si>
    <t>d12 The princess may have gotten into some trouble when she...</t>
  </si>
  <si>
    <t>1. Met a dashing rogue at a common tavern.</t>
  </si>
  <si>
    <t>2. Rode into the woods with a handsome knight.</t>
  </si>
  <si>
    <t>3. Asked a favor of a tricky witch.</t>
  </si>
  <si>
    <t>4. Trespassed in a reclusive witch's garden.</t>
  </si>
  <si>
    <t>5. Spoke with a ghostly presence.</t>
  </si>
  <si>
    <t>6. Read a forbidden book of lore.</t>
  </si>
  <si>
    <t>7. Followed a lady's maid after a feast.</t>
  </si>
  <si>
    <t>8. Followed a lord's valet after a feast.</t>
  </si>
  <si>
    <t>9. Attracted the attention of a powerful devil or vampire.</t>
  </si>
  <si>
    <t>10. Discovered a hidden passage in the castle.</t>
  </si>
  <si>
    <t>11. Made a pact with another mischievous young lady.</t>
  </si>
  <si>
    <t>12. Ran away from home.</t>
  </si>
  <si>
    <t>d12 The princess is...</t>
  </si>
  <si>
    <t>1. Utterly incompetent; she can't dress herself without her maid's help.</t>
  </si>
  <si>
    <t>2. Pretty vapid; she's not going to be able to handle this problem on her own.</t>
  </si>
  <si>
    <t>3. Rather brash; her boldness often gets her into trouble.</t>
  </si>
  <si>
    <t>4. A bit too proud; she hates to ask for help, even when she needs it.</t>
  </si>
  <si>
    <t>5. Two-faced; she'll sell out her friends if its to her advantage.</t>
  </si>
  <si>
    <t>6. Naive; she's going to get into more trouble if someone doesn't guide her.</t>
  </si>
  <si>
    <t>7. Enchanting; she'll charm her way out of her present trouble.</t>
  </si>
  <si>
    <t>8. Fearless; she's always poised in the face of danger.</t>
  </si>
  <si>
    <t>9. Stubborn; there is no arguing with her once she sets her mind on something.</t>
  </si>
  <si>
    <t>10. Clever; she always has a plan to turn any bad situation on its head.</t>
  </si>
  <si>
    <t>11. Shrewd; she's capable of outwitting both you and the source of her present trouble.</t>
  </si>
  <si>
    <t>12. A badass; don't get in her way.</t>
  </si>
  <si>
    <t>Random Mercenary Troops</t>
  </si>
  <si>
    <t>d12 The mercenary troop’s colors are...</t>
  </si>
  <si>
    <t>9. Navy blue.</t>
  </si>
  <si>
    <t>10. Dark brown / chocolate.</t>
  </si>
  <si>
    <t>11. Steel / blue grey.</t>
  </si>
  <si>
    <t>12. Olive green.</t>
  </si>
  <si>
    <t>d20 The mercenary troop’s banner features...</t>
  </si>
  <si>
    <t>3. A clenched fist.</t>
  </si>
  <si>
    <t>4. A flame.</t>
  </si>
  <si>
    <t>11. A bat.</t>
  </si>
  <si>
    <t>19. A vulture.</t>
  </si>
  <si>
    <t>d10 The mercenary troop’s commander is...</t>
  </si>
  <si>
    <t>1. A brazen outlaw.</t>
  </si>
  <si>
    <t>4. An outcast from a prominent family.</t>
  </si>
  <si>
    <t>6. A dashing swashbuckler.</t>
  </si>
  <si>
    <t>7. A brutish thug.</t>
  </si>
  <si>
    <t>8. A celebrated war hero.</t>
  </si>
  <si>
    <t>9. A disgraced knight.</t>
  </si>
  <si>
    <t>d6 The mercenary troop’s attitude toward their commander is...</t>
  </si>
  <si>
    <t>3. Cautious and uncertain.</t>
  </si>
  <si>
    <t>4. Terrified and tight-lipped.</t>
  </si>
  <si>
    <t>5. Disappointed and rude.</t>
  </si>
  <si>
    <t>6. Angry and rebellious.</t>
  </si>
  <si>
    <t>d6 The mercenary troop is currently...</t>
  </si>
  <si>
    <t>1. Gainfully employed as guards.</t>
  </si>
  <si>
    <t>2. Gainfully employed in war.</t>
  </si>
  <si>
    <t>3. Under contract with some criminals.</t>
  </si>
  <si>
    <t>4. Under contract with some merchants.</t>
  </si>
  <si>
    <t>5. Under contract with some nobles.</t>
  </si>
  <si>
    <t>6. Looking for work.</t>
  </si>
  <si>
    <t>d10 The mercenary troop specializes in...</t>
  </si>
  <si>
    <t>2. Holding a redoubt or fort.</t>
  </si>
  <si>
    <t>3. Frontal assault.</t>
  </si>
  <si>
    <t>4. Infiltration tactics.</t>
  </si>
  <si>
    <t>5. Skirmishes.</t>
  </si>
  <si>
    <t>6. Laying ambushes.</t>
  </si>
  <si>
    <t>7. Patrolling.</t>
  </si>
  <si>
    <t>8. Flanking maneuvers.</t>
  </si>
  <si>
    <t>9. Guerilla tactics.</t>
  </si>
  <si>
    <t>10. Raiding and pillaging.</t>
  </si>
  <si>
    <t>d8 The mercenary troop is notorious for...</t>
  </si>
  <si>
    <t>1. Taking no prisoners.</t>
  </si>
  <si>
    <t>2. Leaving the dead to be eaten by beasts.</t>
  </si>
  <si>
    <t>4. Scalping or flaying prisoners.</t>
  </si>
  <si>
    <t>5. Burning villages and fields.</t>
  </si>
  <si>
    <t>6. Betraying their employers.</t>
  </si>
  <si>
    <t>d8 The mercenary troop fights with...</t>
  </si>
  <si>
    <t>2. Making a direct assault.</t>
  </si>
  <si>
    <t>3. Fancy footwork.</t>
  </si>
  <si>
    <t>4. Unpredictable lurches.</t>
  </si>
  <si>
    <t>5. Masterful combat maneuvers.</t>
  </si>
  <si>
    <t>6. No mercy.</t>
  </si>
  <si>
    <t>7. Lots of taunts and jeers.</t>
  </si>
  <si>
    <t>8. Dirty tactics.</t>
  </si>
  <si>
    <t>d8 Many of the mercenaries in the troop are armored in...</t>
  </si>
  <si>
    <t>1. Exotic robes.</t>
  </si>
  <si>
    <t>2. Leather armor.</t>
  </si>
  <si>
    <t>3. Studded leather armor.</t>
  </si>
  <si>
    <t>4. Hide armor</t>
  </si>
  <si>
    <t>5. Ringmail.</t>
  </si>
  <si>
    <t>6. Chainmail.</t>
  </si>
  <si>
    <t>7. Scale armor.</t>
  </si>
  <si>
    <t>8. Plate armor.</t>
  </si>
  <si>
    <t>d12 Many of the mercenaries in the troop are wielding...</t>
  </si>
  <si>
    <t>1. Longswords.</t>
  </si>
  <si>
    <t>2. Longswords and shields.</t>
  </si>
  <si>
    <t>3. Shortswords and spears.</t>
  </si>
  <si>
    <t>5. Longswords and crossbows.</t>
  </si>
  <si>
    <t>6. Greatswords.</t>
  </si>
  <si>
    <t>7. Spears and shields.</t>
  </si>
  <si>
    <t>8. Battleaxes.</t>
  </si>
  <si>
    <t>9. Battleaxes and shields.</t>
  </si>
  <si>
    <t>10. Warhammers.</t>
  </si>
  <si>
    <t>11. Scimitars.</t>
  </si>
  <si>
    <t>12. Scimitars and a shields.</t>
  </si>
  <si>
    <t>Random Mercenaries</t>
  </si>
  <si>
    <t>Use these tables for inspiration or roll them up randomly. Some of the tables could be ruled more than once.</t>
  </si>
  <si>
    <t>d20 This mercenary is...</t>
  </si>
  <si>
    <t>1. A grizzled outlaw.</t>
  </si>
  <si>
    <t>2. A lifelong wanderer.</t>
  </si>
  <si>
    <t>3. A disillusioned deserter.</t>
  </si>
  <si>
    <t>4. A bawdy adventurer.</t>
  </si>
  <si>
    <t>5. A cold professional.</t>
  </si>
  <si>
    <t>6. A glory-seeking soldier of fortune.</t>
  </si>
  <si>
    <t>7. A seeker of knowledge and experiences.</t>
  </si>
  <si>
    <t>8. A proud warrior on a quest to find a worthy opponent.</t>
  </si>
  <si>
    <t>9. A commoner looking to make some easy money.</t>
  </si>
  <si>
    <t>10. A loveable scoundrel.</t>
  </si>
  <si>
    <t>11. A reputable veteran.</t>
  </si>
  <si>
    <t>12. A bloodthirsty sadist.</t>
  </si>
  <si>
    <t>13. An ascended beggar.</t>
  </si>
  <si>
    <t>14. A hardened refugee.</t>
  </si>
  <si>
    <t>15. A former member of a disbanded army.</t>
  </si>
  <si>
    <t>16. A devious sellsword.</t>
  </si>
  <si>
    <t>17. On a quest to cleanse the world of bandits or monsters.</t>
  </si>
  <si>
    <t>18. Dishonored city watchman.</t>
  </si>
  <si>
    <t>19. A runaway slave.</t>
  </si>
  <si>
    <t>20. A merchant who has taken up killing</t>
  </si>
  <si>
    <t>d10 The mercenary’s primary skillset is that of...</t>
  </si>
  <si>
    <t>1. A warrior or barbarian.</t>
  </si>
  <si>
    <t>2. A hunter or trapper.</t>
  </si>
  <si>
    <t>3. A rogue or assassin.</t>
  </si>
  <si>
    <t>4. A mage or enchanter.</t>
  </si>
  <si>
    <t>5. A healer or alchemist.</t>
  </si>
  <si>
    <t>6. A monster hunter or exterminator.</t>
  </si>
  <si>
    <t>7. A gladiator or pugilist.</t>
  </si>
  <si>
    <t>8. A swashbuckler or duelist.</t>
  </si>
  <si>
    <t>9. A cleric or priest.</t>
  </si>
  <si>
    <t>10. A singer or bard.</t>
  </si>
  <si>
    <t>d10 The mercenary’s primary weapon is...</t>
  </si>
  <si>
    <t>2. A battleaxe.</t>
  </si>
  <si>
    <t>3. A scimitar.</t>
  </si>
  <si>
    <t>4. A halberd.</t>
  </si>
  <si>
    <t>5. A bow.</t>
  </si>
  <si>
    <t>6. A shortsword and dagger.</t>
  </si>
  <si>
    <t>7. A crossbow.</t>
  </si>
  <si>
    <t>8. A warmace</t>
  </si>
  <si>
    <t>9. A staff.</t>
  </si>
  <si>
    <t>10. A hammer.</t>
  </si>
  <si>
    <t>d8 The mercenary’s weapon is...</t>
  </si>
  <si>
    <t>1. Covered in mysterious runes.</t>
  </si>
  <si>
    <t>2. Made of an unusual material.</t>
  </si>
  <si>
    <t>3. Emitting a supernatural hum or glow.</t>
  </si>
  <si>
    <t>4. Obviously mastercrafted.</t>
  </si>
  <si>
    <t>5. Of foreign design.</t>
  </si>
  <si>
    <t>6. Poorly maintained and dirty.</t>
  </si>
  <si>
    <t>7. Battered to the point of breaking.</t>
  </si>
  <si>
    <t>8. Engraved with a name.</t>
  </si>
  <si>
    <t>d6 The mercenary is also good at...</t>
  </si>
  <si>
    <t>1. A particular field of knowledge (d6:) 1. legends and folklore; 2. languages; 3. military strategy and logistics; 4. politics and high society; 5. street code; 6. engineering.</t>
  </si>
  <si>
    <t>2. A game (d6). 1. cards; 2. dice; 3. arm wrestling; 4. board strategy; 5. slap jack; 6. horseshoe throwing.</t>
  </si>
  <si>
    <t>3. Wielding a secondary weapon (d6). 1. throwing knives; 2. javelin; 3. flail; 4. unarmed combat; 5. darts; 6. whip.</t>
  </si>
  <si>
    <t>4. Performance art (d6). 1. singing; 2. dancing; 3. storytelling; 4. acting; 5. juggling; 6. playing a musical instrument.</t>
  </si>
  <si>
    <t>5. Craftsmanship (d6). 1. smithing; 2. construction; 3. tailoring; 4. brewing; 5. carpentry; 6. cooking.</t>
  </si>
  <si>
    <t>6. An adventuring skill (d6). 1. geography or navigation; 2. lockpicking; 3. equipment maintenance; 4. shadowing; 5. riding; 6. trade.</t>
  </si>
  <si>
    <t>d40 Additionally, the mercenary...</t>
  </si>
  <si>
    <t>1. Wears unusually light or heavy armor.</t>
  </si>
  <si>
    <t>2. Wears colorful clothing.</t>
  </si>
  <si>
    <t>3. Has a disfiguring facial scar.</t>
  </si>
  <si>
    <t>4. Has an unwillingness to do certain types of jobs.</t>
  </si>
  <si>
    <t>5. Is obviously foreign in origin.</t>
  </si>
  <si>
    <t>6. Wears a strange hairstyle or color.</t>
  </si>
  <si>
    <t>7. Exudes an aura of fear, respect, or professionalism.</t>
  </si>
  <si>
    <t>8. Looks remarkably similar to a certain criminal being searched for a few towns over.</t>
  </si>
  <si>
    <t>9. Is always either drunk or hungover.</t>
  </si>
  <si>
    <t>10. Has an unusual level of attractiveness.</t>
  </si>
  <si>
    <t>11. Flaunts expensive jewelry.</t>
  </si>
  <si>
    <t>12. Has an unusual fighting style.</t>
  </si>
  <si>
    <t>13. Wears protective charms and amulets.</t>
  </si>
  <si>
    <t>14. Talks very little.</t>
  </si>
  <si>
    <t>15. Displays the colors of his liege or realm of origin.</t>
  </si>
  <si>
    <t>16. Is always looking to bed someone.</t>
  </si>
  <si>
    <t>17. Speaks with extreme profanity.</t>
  </si>
  <si>
    <t>18. Has a pet.</t>
  </si>
  <si>
    <t>19. Has very bad teeth.</t>
  </si>
  <si>
    <t>20. Smokes a pipe.</t>
  </si>
  <si>
    <t>21. Is very old.</t>
  </si>
  <si>
    <t>22. Sports religious symbols.</t>
  </si>
  <si>
    <t>23. Has a loud, penetrating voice.</t>
  </si>
  <si>
    <t>24. Is currently wounded.</t>
  </si>
  <si>
    <t>25. Is wearing a trophy.</t>
  </si>
  <si>
    <t>26. Is carrying a small book in a satchel.</t>
  </si>
  <si>
    <t>27. Is fat.</t>
  </si>
  <si>
    <t>28. Has heterochromatic eyes.</t>
  </si>
  <si>
    <t>29. Has a speech impediment.</t>
  </si>
  <si>
    <t>30. Is always eating something.</t>
  </si>
  <si>
    <t>31. Wears an eyepatch.</t>
  </si>
  <si>
    <t>32. Walks with a limp.</t>
  </si>
  <si>
    <t>33. Is clad in black.</t>
  </si>
  <si>
    <t>34. Is good with children.</t>
  </si>
  <si>
    <t>35. Looks depressed or dead inside.</t>
  </si>
  <si>
    <t>36. Is missing an ear.</t>
  </si>
  <si>
    <t>37. Is clothed inappropriately for the weather.</t>
  </si>
  <si>
    <t>38. Spits on the ground frequently.</t>
  </si>
  <si>
    <t>39. Has an annoying laugh.</t>
  </si>
  <si>
    <t>40. Is constantly fidgeting with a coin.</t>
  </si>
  <si>
    <t>d4 The mercenary’s level of competence could be described as...</t>
  </si>
  <si>
    <t>1. Poor.</t>
  </si>
  <si>
    <t>2. Average.</t>
  </si>
  <si>
    <t>3. Good.</t>
  </si>
  <si>
    <t>4. Excellent.</t>
  </si>
  <si>
    <t>d6 The mercenary’s pricing is...</t>
  </si>
  <si>
    <t>1. Unbelievably cheap.</t>
  </si>
  <si>
    <t>2. Low.</t>
  </si>
  <si>
    <t>3. Affordable.</t>
  </si>
  <si>
    <t>4. Above average.</t>
  </si>
  <si>
    <t>5. High.</t>
  </si>
  <si>
    <t>6. Exorbitant.</t>
  </si>
  <si>
    <t>Random Sellswords</t>
  </si>
  <si>
    <t>Use these tables for inspiration or roll them up randomly. Some tables could be rolled more than once.</t>
  </si>
  <si>
    <t>d8 The sellsword is armored in...</t>
  </si>
  <si>
    <t>d6 The sellsword’s armor is...</t>
  </si>
  <si>
    <t>d12 The sellsword is wielding...</t>
  </si>
  <si>
    <t>7. A heavy flail.</t>
  </si>
  <si>
    <t>9. A huge axe.</t>
  </si>
  <si>
    <t>10. A warhammer.</t>
  </si>
  <si>
    <t>11. A scimitar.</t>
  </si>
  <si>
    <t>12. A scimitar and a shield.</t>
  </si>
  <si>
    <t>d8 The sellsword fights with...</t>
  </si>
  <si>
    <t>d12 The sellsword is...</t>
  </si>
  <si>
    <t>1. A well-trained soldier.</t>
  </si>
  <si>
    <t>2. A self-taught militia veteran.</t>
  </si>
  <si>
    <t>6. A political prisoner.</t>
  </si>
  <si>
    <t>11. A de-frocked priest.</t>
  </si>
  <si>
    <t>d8 The sellsword fights for...</t>
  </si>
  <si>
    <t>1. The love of gold.</t>
  </si>
  <si>
    <t>3. A chance to deal out sadistic torment.</t>
  </si>
  <si>
    <t>5. Gold to repay debts.</t>
  </si>
  <si>
    <t>6. Gold to aid a family member.</t>
  </si>
  <si>
    <t>7. Gold to secure a marriage.</t>
  </si>
  <si>
    <t>8. Fortune and glory.</t>
  </si>
  <si>
    <t>d12 On the sellsword’s face is...</t>
  </si>
  <si>
    <t>1. An eye-catching mole.</t>
  </si>
  <si>
    <t>2. A garish earring.</t>
  </si>
  <si>
    <t>5. A haughty sneer.</t>
  </si>
  <si>
    <t>7. A stupid grin.</t>
  </si>
  <si>
    <t>8. An eager grin.</t>
  </si>
  <si>
    <t>9. A frame of long, beautiful long hair.</t>
  </si>
  <si>
    <t>10. Ferocious sideburns.</t>
  </si>
  <si>
    <t>d12 The sellsword carries...</t>
  </si>
  <si>
    <t>1. A blade with a gem embedded in the pommel.</t>
  </si>
  <si>
    <t>2. A blade with soft leather tassels dangling from the pommel.</t>
  </si>
  <si>
    <t>3. A blade with a carved hilt (d6): 1. ivory; 2. jade; 3. soapstone; 4. ebony; 5. mahogany; 6. oak.</t>
  </si>
  <si>
    <t>4. A blade with a gently curved hilt.</t>
  </si>
  <si>
    <t>5. A blade with beasts sculpted into the steel of the guard (d6): 1. dragons; 2. lions; 3. scorpions; 4. snakes; 5. spiders; 6. wolves.</t>
  </si>
  <si>
    <t>6. A blade made of blackened steel.</t>
  </si>
  <si>
    <t>7. A highly polished blade.</t>
  </si>
  <si>
    <t>8. A blade with runes carved into it.</t>
  </si>
  <si>
    <t>9. Arrows/bolts tipped with black steel.</t>
  </si>
  <si>
    <t>10. Arrows/bolts with bronzed tips.</t>
  </si>
  <si>
    <t>11. Arrows/bolts fletched with crow feathers.</t>
  </si>
  <si>
    <t>12. Arrows/bolts fletched with peacock feathers.</t>
  </si>
  <si>
    <t>d10 The sellsword is seeking...</t>
  </si>
  <si>
    <t>1. Accomplices on a mission.</t>
  </si>
  <si>
    <t>2. A fugitive on whom a bounty has been declared.</t>
  </si>
  <si>
    <t>3. A song to serve as a distraction from personal troubles.</t>
  </si>
  <si>
    <t>7. Steady employment.</t>
  </si>
  <si>
    <t>8. A big pay day.</t>
  </si>
  <si>
    <t>d20 Games, Contests, and Events</t>
  </si>
  <si>
    <t>1. A group of commoners is playing horse shoes out back.</t>
  </si>
  <si>
    <t>2. The party is surprised to find the country darts league in full swing as they enter. The waitresses are used to the chaos and dodge darts easily. The half ogre bouncer is using lawn darts.</t>
  </si>
  <si>
    <t>3. a group of Hill Dwarves are in the middle of a drinking contest, and two of them are passed out already. The Prize is a solid platinum stein.</t>
  </si>
  <si>
    <t>4. Wet Chainmail contest!</t>
  </si>
  <si>
    <t>5. Four large Barbarians are loudly sledging each other during an arm wrestling competition.</t>
  </si>
  <si>
    <t>6. A shy teenage girl is reciting bad poetry in a corner. No one is paying the slightest bit of attention to her.</t>
  </si>
  <si>
    <t>7. It's trivia night! Those scholars from the School of History and the Arts at the University always win, but tonight, we represent and the School of Alchemy will show those smug book-snobs what it means to be a nerd.</t>
  </si>
  <si>
    <t>8. A promoter is working his way around the tables looking for challengers to fight the local champion pugilist.</t>
  </si>
  <si>
    <t>9. It's a sausage fest! The place is packed with dwarves eager to devour the all-you-can-eat sausage special.</t>
  </si>
  <si>
    <t>10. An over-sized brute is arm-wrestling crushing the hand of everyone in sight.</t>
  </si>
  <si>
    <t>11. Some goblins are throwing dice with some animated skeletons at a table in the corner.</t>
  </si>
  <si>
    <t>12. A goblin is doing a poor job at cheating at a dice game, while a skeleton is doing an excellent job at cheating.</t>
  </si>
  <si>
    <t>13. A 7'2" red dragonborn with a 5' bastard sword is having a drinking contest with a dwarf. The dragonborn has a 4-pint tankard, and is almost managing to keep pace.</t>
  </si>
  <si>
    <t>14. A party sits in the corner booth playing cards. All of them are cheating, except the paladin, who, curiously, is winning.</t>
  </si>
  <si>
    <t>15. A mountain of a man in barbarian leathers is arm wrestling a small dragon and winning.</t>
  </si>
  <si>
    <t>16. An awakened Roper is winning two games of billiards at once.</t>
  </si>
  <si>
    <t>17. A group of drunken pixies is playing hide and seek by hiding behind patrons.</t>
  </si>
  <si>
    <t>18. The players have stumbled into a regional card championship being held that night. The buy in is huge, but so is the pot.</t>
  </si>
  <si>
    <t>19. A shady looking gnomish inventor is proudly showing off his latest invention. He calls it a "slot machine."</t>
  </si>
  <si>
    <t>20. A grey haired story teller is sitting near the fire holding a contest. He'll give a large purse for a story he hasn't heard yet, but so far no one has won.</t>
  </si>
  <si>
    <t>d12 Entertainment</t>
  </si>
  <si>
    <t>1. The bartender tells elaborate stories about where the stuffed wyrmling dragon on the mantel came from. In reality, he’s a retired wizard and it’s his familiar which grew sick and died. He keeps it as a memento.</t>
  </si>
  <si>
    <t>2. A bard is telling a story about the player’s latest act of daring do. He’s embellishing quite a bit. When he recognizes the party he makes a big spectacle.</t>
  </si>
  <si>
    <t>3. A bard is telling the story of the player’s latest exploit. It’s an obvious character assassination.</t>
  </si>
  <si>
    <t>4. A local bardic group, The Rolling Boulders, are performing, and a large crowd of drunken groupies will not stop screaming.</t>
  </si>
  <si>
    <t>5. A beggar offers to sing for a few coppers. You heard him singing to the last table. He's awful.</t>
  </si>
  <si>
    <t>6. A sassy fortune teller has set up shop in a corner booth. She informs you that she sees a hangover in your near future.</t>
  </si>
  <si>
    <t>7. A stirring rendition of "The Lady and the Faerie Dragon" has the crowd calling for an encore from the minstrels.</t>
  </si>
  <si>
    <t>8. The lute-player catches some undergarments from the crowd and drapes them across the ridiculous horned helm he wears.</t>
  </si>
  <si>
    <t>9. On stage tonight: The Deep Tones. A quartet of dwarves with long beards and deep voices singing a capella favorites from places without light (or proper music).</t>
  </si>
  <si>
    <t>10. On stage tonight: Shaela Windspeaker. An elf-maid singer-songwriter with a bit of a whiny voice who is slowly making her way through her most recent song of protest against the previous and the present centuries of war.</t>
  </si>
  <si>
    <t>11. A nervous show-wizard on the small stage is doing tricks with Prestidigitation for the un-amused patrons.</t>
  </si>
  <si>
    <t>12. There is a pair of musicians warbling well known drinking songs. They have made an impromptu stage out of several tables. One of them seems to be tilting precariously.</t>
  </si>
  <si>
    <t>d20 Patrons and Staff</t>
  </si>
  <si>
    <t>1. A poor farmer is trying to pay his bar tab with a sack of potatoes and a barrel of pickles.</t>
  </si>
  <si>
    <t>2. A sea captain has set up shop at a table and is trying to sell mementos and souvenirs from his latest great voyage of exploration. Birds, exotic coins, tiny mermaids, he has it all. Some of it looks fake though. A tiny bit looks disturbingly real.</t>
  </si>
  <si>
    <t>3. A ranger sits alone in a corner, smoking. A hood covers most of his face. At his feet is a sleeping wolfhound. Everyone is giving him a wide berth.</t>
  </si>
  <si>
    <t>4. A lone Troll is drinking at the end of the bar and softly crying and singing one country ballad after another.</t>
  </si>
  <si>
    <t>5. A stoned magician is fumbling his way through one awful card trick after another.</t>
  </si>
  <si>
    <t>6. A mixed group of Elves are drinking bad wine and holding scented handkerchiefs up to their noses to keep out the stench. One has an obsidian bow strapped to her back.</t>
  </si>
  <si>
    <t>7. A young woman and gruff man are asking the patrons questions about themselves. When they get to the players, the woman is interested by their adventuring tales. Little do they know, they're talking to the heir apparent and he trusted guard.</t>
  </si>
  <si>
    <t>8. Two guards are arguing at a table over who the captain likes more by comparing almost identical spears and claiming to have the better one.</t>
  </si>
  <si>
    <t>9. A sad clown is drinking a beer alone.</t>
  </si>
  <si>
    <t>10. A handsome young woman is holding court among some of her would-be suitors. Her father interrupts, and she stalks off embarrassed.</t>
  </si>
  <si>
    <t>11. Some idiot is having a stag night. His friends are loud and obnoxiously harassing the barmaids.</t>
  </si>
  <si>
    <t>12. It's ladies night! And it's not disappointing... A few pretty little things from the weavers' guild are here, a couple of attractive healers from the temple, and the beautiful new town librarian.</t>
  </si>
  <si>
    <t>13. A surly old witch is drinking sherry while stroking the fat grey cat sitting on her lap.</t>
  </si>
  <si>
    <t>14. The barkeep is a marilith, mixing up four drinks at a time.</t>
  </si>
  <si>
    <t>15. The barmaid is a succubus, she makes great tips.</t>
  </si>
  <si>
    <t>16. The attendant in the bathroom is a foul-smelling zombie. He offers you a mint crystal.</t>
  </si>
  <si>
    <t>17. Behind the bar is a gnomish alchemist with a penchant for mixology experiments.</t>
  </si>
  <si>
    <t>18. The toothless mop-hand reminisces with a hobgoblin military has-been over ales about how an otyugh in the loo isn't as bad as the time a carrion crawler was in there.</t>
  </si>
  <si>
    <t>19. The barmaid is a doppelganger. When she returns to your table with your drinks she has taken the form of one of your party.</t>
  </si>
  <si>
    <t>20. A fat priest is doing an excellent jiggly dance in rhythm with the music. Either that or a gelatinous cube has made it's way onto the dance floor?</t>
  </si>
  <si>
    <t>1. Tonight's special cocktail: Pixiewine. Each glass of this crisp, floral-scented wine is served with a pixie.</t>
  </si>
  <si>
    <t>2. Tonight's special cocktail: Suckerpunch. Each glass of this potent purple-red punch has several small writhing tentacles that reach out of the glass to attach to your face with their suckers. It actually feels kind of nice.</t>
  </si>
  <si>
    <t>3. Tonight's special: Bring-Your-Own-Horn. Bring the horn of your favorite beast or monstrous humanoid (any size!), and we'll fill it with cheap ale or wine for 2 cp.</t>
  </si>
  <si>
    <t>4. Tonight's special cocktail: Mindbomb. It's made with absinthe and explosive powder.</t>
  </si>
  <si>
    <t>5. Tonight's special cocktail: Fireball. Served by wizards of 5th level or higher.</t>
  </si>
  <si>
    <t>6. Tonight's special cocktail: Stonebones. A powerful rum cocktail made with powder gorgon horn and basilisk eye. It's only partial paralysis.</t>
  </si>
  <si>
    <t>d20 Schemes, Mischief, and Trouble</t>
  </si>
  <si>
    <t>1. A group of highway men are drunkenly, and a little too loudly, discussing the caravan they pillaged outside of town and what to do with their shares.</t>
  </si>
  <si>
    <t>2. Adventurers are manhandling a companion turned to stone by a basilisk into the bar. The rouge is trying to pawn him off to the bartender as a hat rack. The bartender is considering it.</t>
  </si>
  <si>
    <t>3. The bartender is out of mugs because a wizard is passed out in a corner over a table covered in mugs. His drunken familiar attacks anyone approaching the table preventing the mugs recovery.</t>
  </si>
  <si>
    <t>4. A Faerie Dragon is passed out in the rafters. Dangling from one claw is a lacy brassiere.</t>
  </si>
  <si>
    <t>5. A fat Gnome is peddling smelly cheese from a wicker basket.</t>
  </si>
  <si>
    <t>6. A drunken beholder is getting surly. Or feeling playful, it's hard to tell.</t>
  </si>
  <si>
    <t>7. Two smugglers are talking in a booth before they start to argue. They both shoot at each other, one of them dies. Nobody's completely sure who shot first.</t>
  </si>
  <si>
    <t>8. A man is sitting alone, speaking relatively normally to the empty seat across from him, before yelling out in anger.</t>
  </si>
  <si>
    <t>9. A pair of Ratfolk are being harassed by a few drunken patrons. They're not fighting back.</t>
  </si>
  <si>
    <t>10. A child is attempting to set up a prank against a less than favorable character. He's close, but you can see a flaw in his plan that you could solve.</t>
  </si>
  <si>
    <t>11. It's ladies night! And this bar is a sausage fest.</t>
  </si>
  <si>
    <t>12. A necromancer leads a stumbling-drunk patron out the door.</t>
  </si>
  <si>
    <t>13. The bouncer brains an unruly goblin with his morningstar. No one cares because the party is rocking.</t>
  </si>
  <si>
    <t>14. A knife splits the bulls eye of the elves' in-progress dart game. The elves draw bows and start shooting the place up.</t>
  </si>
  <si>
    <t>15. An illithid is telling fortunes with a deck of tarot cards on an overturned barrel out front. Some say it's cheating because he can read minds, but I say it's cheating because he can eat minds.</t>
  </si>
  <si>
    <t>16. An otyugh made a mess in the loo again.</t>
  </si>
  <si>
    <t>17. At the darts board, a wood elf is being hustled, and already owes a significant amount of money to the loud group of humans around him.</t>
  </si>
  <si>
    <t>18. The tavern is full of groups of tourists, all admiring a single poster on the bulletin board. Soon you realize they're all adventuring parties, and there is only one job left. They all begin to run out the door to be the first to complete it.</t>
  </si>
  <si>
    <t>19. A large cow sits in one end, with a wizard muttering "I'm sure this never happens babe" in its ear.</t>
  </si>
  <si>
    <t>20. The taproom is packed from wall to wall. A regal dwarf bedecked with a large chain is standing on the bar buying everyone drinks and preaching to the merit of the Gundar the great god of revelry.</t>
  </si>
  <si>
    <t>d40 You have heard of this tavern before/eaten there before because...</t>
  </si>
  <si>
    <t>1. they make a mean kirschtorte</t>
  </si>
  <si>
    <t>2. they really know their pierogies</t>
  </si>
  <si>
    <t>3. they are the borscht capital of the world</t>
  </si>
  <si>
    <t>4. their reputation for gołąbkis is unrivaled</t>
  </si>
  <si>
    <t>5. they put bacon on everything</t>
  </si>
  <si>
    <t>6. that one smoking hot waitress</t>
  </si>
  <si>
    <t>7. they always have horse parking</t>
  </si>
  <si>
    <t>8. the carrot porridge is to die for</t>
  </si>
  <si>
    <t>9. No one knows where it is so its usually quiet.</t>
  </si>
  <si>
    <t>10. It's open later than anything else in town.</t>
  </si>
  <si>
    <t>11. No one except adventurers are brave enough to eat at a place built under the lightning rail so the merchants and needy townsfolk stay away.</t>
  </si>
  <si>
    <t>12. They buy whatever meat you bring in and cook it fresh.</t>
  </si>
  <si>
    <t>13. They ruthlessly drove the other businesses out of town and you were starving.</t>
  </si>
  <si>
    <t>14. Tasty desserts. The cheese-pie is to die for!</t>
  </si>
  <si>
    <t>15. Beer selection. They have a great selection of ales.</t>
  </si>
  <si>
    <t>16. Homebrew beer. They brew their own dragon-stout in-house!</t>
  </si>
  <si>
    <t>17. Meat. The proprietor is a hunter who goes into the woods every day to catch and to kill the main roast.</t>
  </si>
  <si>
    <t>18. Beastly decor. The walls are covered in furs, antlers, and beast heads.</t>
  </si>
  <si>
    <t>19. Fancy decor. The booths are separated by beautiful lace curtains and a pleasant scent of incense permeates the air.</t>
  </si>
  <si>
    <t>20. Heroic tales. The proprietor slayed a dragon.</t>
  </si>
  <si>
    <t>21. Sad tales. The barkeep is a stunning noblewoman who eloped with the poor sonofabitch who used to own this place before died.</t>
  </si>
  <si>
    <t>22. Sex appeal. The barmaids wear low-cut blouses and/or tight skirts.</t>
  </si>
  <si>
    <t>23. Friendly service. The barmaids are real friendly.</t>
  </si>
  <si>
    <t>24. Gamblers' den. The dice game is high-stakes.</t>
  </si>
  <si>
    <t>25. Freakish staff. The bouncer is half-troll.</t>
  </si>
  <si>
    <t>26. Bad-ass staff. The bouncer has a dragon tattoo on his face.</t>
  </si>
  <si>
    <t>27. High-end wines. Their wines come from some unpronounceable Elvish island.</t>
  </si>
  <si>
    <t>28. Magical drinks. The barkeep is an alchemical wizard who serves up love potions, sleeping draughts, and mustache tonics. (Some might argue that a good mustache tonic is all the love potion one needs.)</t>
  </si>
  <si>
    <t>29. Entertainment. The barkeep here plays a fine piano.</t>
  </si>
  <si>
    <t>30. Decorations, they have trophies from everywhere.</t>
  </si>
  <si>
    <t>31. Reviews, some sod with a pen, paper, and those newfangled word things has written a piece on them.</t>
  </si>
  <si>
    <t>32. Nobility, the high society types like it.</t>
  </si>
  <si>
    <t>33. Admittance is a status symbol.</t>
  </si>
  <si>
    <t>34. People, its where you go to find troubleshooters.</t>
  </si>
  <si>
    <t>35. Warmth, the walls magically keep out the chill and snow.</t>
  </si>
  <si>
    <t>36. The Dwarves built it.</t>
  </si>
  <si>
    <t>37. It was once a library and there is a huge selection of books to read.</t>
  </si>
  <si>
    <t>38. It was once a temple and the half dead god who was worshiped there still occasionally tries to smite the defilers, sometimes with more success than others.</t>
  </si>
  <si>
    <t>39. They accept a generous line of credit</t>
  </si>
  <si>
    <t xml:space="preserve">40. It's an exotic location, and spelljammers sometimes stop by, bringing trinkets from across the planes. </t>
  </si>
  <si>
    <t>Random Brothels: What'll it be, sailor?...</t>
  </si>
  <si>
    <t>d200 This place is called...</t>
  </si>
  <si>
    <t>1. Daisies.</t>
  </si>
  <si>
    <t>2. The Don.</t>
  </si>
  <si>
    <t>3. Blinkers.</t>
  </si>
  <si>
    <t>4. The Prude's Suspenders.</t>
  </si>
  <si>
    <t>5. Gold’s Dust.</t>
  </si>
  <si>
    <t>6. The Velvet Fang.</t>
  </si>
  <si>
    <t>7. The Whisper Home.</t>
  </si>
  <si>
    <t>8. The Hook.</t>
  </si>
  <si>
    <t>9. Over the River.</t>
  </si>
  <si>
    <t>10. Slooshes.</t>
  </si>
  <si>
    <t>11. The Rapid Rascal.</t>
  </si>
  <si>
    <t>12. The Stoat.</t>
  </si>
  <si>
    <t>13. The Fidgety Ferret.</t>
  </si>
  <si>
    <t>14. Long Shaft.</t>
  </si>
  <si>
    <t>15. The Guards.</t>
  </si>
  <si>
    <t>16. Chastity’s.</t>
  </si>
  <si>
    <t>17. The Mask.</t>
  </si>
  <si>
    <t>18. The Red Dress.</t>
  </si>
  <si>
    <t>19. Jewels.</t>
  </si>
  <si>
    <t>20. Silken Flute.</t>
  </si>
  <si>
    <t>21. The Nag’s Head.</t>
  </si>
  <si>
    <t>22. Drummers.</t>
  </si>
  <si>
    <t>23. Sailors Choice.</t>
  </si>
  <si>
    <t>24. Blacksmiths Envy.</t>
  </si>
  <si>
    <t>25. The Nagging Wife.</t>
  </si>
  <si>
    <t>26. Colins Rubble.</t>
  </si>
  <si>
    <t>27. Dron's Beat.</t>
  </si>
  <si>
    <t>28. The Wink.</t>
  </si>
  <si>
    <t>29. Maggie’s Horn.</t>
  </si>
  <si>
    <t>30. The Sun &amp; Cider.</t>
  </si>
  <si>
    <t>31. The Oakworm.</t>
  </si>
  <si>
    <t>32. Tickle &amp; Feather.</t>
  </si>
  <si>
    <t>33. The Mistress.</t>
  </si>
  <si>
    <t>34. Madam Zersannies's.</t>
  </si>
  <si>
    <t>35. The King's Court.</t>
  </si>
  <si>
    <t>36. The Cursed Coin.</t>
  </si>
  <si>
    <t>37. Slit.</t>
  </si>
  <si>
    <t>38. The Maiden Head.</t>
  </si>
  <si>
    <t>39. The Rusty.</t>
  </si>
  <si>
    <t>40. The Silken Ferret.</t>
  </si>
  <si>
    <t>41. Long Legs.</t>
  </si>
  <si>
    <t>42. Elven Whispers.</t>
  </si>
  <si>
    <t>43. The Leg.</t>
  </si>
  <si>
    <t>44. False Suspenders.</t>
  </si>
  <si>
    <t>45. Aunt Fannies Bloomers.</t>
  </si>
  <si>
    <t>46. Final Rest.</t>
  </si>
  <si>
    <t>47. Cocks Crow.</t>
  </si>
  <si>
    <t>48. The Unblinking Eye.</t>
  </si>
  <si>
    <t>49. The Bountiful Bosom.</t>
  </si>
  <si>
    <t>50. Tuskers.</t>
  </si>
  <si>
    <t>51. The Thrusting Gentleman.</t>
  </si>
  <si>
    <t>52. Tally Hoes.</t>
  </si>
  <si>
    <t>53. Rutting.</t>
  </si>
  <si>
    <t>54. Pigs in Blankets.</t>
  </si>
  <si>
    <t>55. The Delicate Touch.</t>
  </si>
  <si>
    <t>56. Aphrodite’s Wish.</t>
  </si>
  <si>
    <t>57. The Dirty Secret.</t>
  </si>
  <si>
    <t>58. Long Locks.</t>
  </si>
  <si>
    <t>59. Sweat.</t>
  </si>
  <si>
    <t>60. Brothel.</t>
  </si>
  <si>
    <t>61. Taters.</t>
  </si>
  <si>
    <t>62. The Swift Finish.</t>
  </si>
  <si>
    <t>63. Cumberlands.</t>
  </si>
  <si>
    <t>64. The Missing Sausage.</t>
  </si>
  <si>
    <t>65. The Fools Frolic.</t>
  </si>
  <si>
    <t>66. Dragons.</t>
  </si>
  <si>
    <t>67. The Bushel.</t>
  </si>
  <si>
    <t>68. Farmers Oats.</t>
  </si>
  <si>
    <t>69. The Raised Brow.</t>
  </si>
  <si>
    <t>70. Genies.</t>
  </si>
  <si>
    <t>71. The Farfetched Feather.</t>
  </si>
  <si>
    <t>72. Junk.</t>
  </si>
  <si>
    <t>73. The Connoisseur’s Choice.</t>
  </si>
  <si>
    <t>74. Colossus.</t>
  </si>
  <si>
    <t>75. The Smooth Ride.</t>
  </si>
  <si>
    <t>76. Bucking.</t>
  </si>
  <si>
    <t>77. The Great Big Globes.</t>
  </si>
  <si>
    <t>78. The Glimmeric.</t>
  </si>
  <si>
    <t>79. Loving Embrace.</t>
  </si>
  <si>
    <t>80. Chokers Necklace.</t>
  </si>
  <si>
    <t>81. The Grand Madame's Emporium of Fine Delicacies, Treats, and the Exotic.</t>
  </si>
  <si>
    <t>82. Thug’s Retreat.</t>
  </si>
  <si>
    <t>83. Warriors' Return.</t>
  </si>
  <si>
    <t>84. Gold Gobblers.</t>
  </si>
  <si>
    <t>85. Cackling Croons.</t>
  </si>
  <si>
    <t>86. The Warty.</t>
  </si>
  <si>
    <t>87. Bessie’s Best.</t>
  </si>
  <si>
    <t>88. Corset.</t>
  </si>
  <si>
    <t>89. Winkies.</t>
  </si>
  <si>
    <t>90. The Shagger.</t>
  </si>
  <si>
    <t>91. Port of Call.</t>
  </si>
  <si>
    <t>92. The Home Away from Hoes.</t>
  </si>
  <si>
    <t>93. Smooth.</t>
  </si>
  <si>
    <t>94. The Maiden Fair.</t>
  </si>
  <si>
    <t>95. The Bit.</t>
  </si>
  <si>
    <t>96. Hosted.</t>
  </si>
  <si>
    <t>97. Glamourous Delights</t>
  </si>
  <si>
    <t>98. Happily Ever After.</t>
  </si>
  <si>
    <t>99. Sultry Stare.</t>
  </si>
  <si>
    <t>100. The Full Flush.</t>
  </si>
  <si>
    <t>101. The Lighted Candle.</t>
  </si>
  <si>
    <t>102. The Red Candle.</t>
  </si>
  <si>
    <t>103. The Raised Candle.</t>
  </si>
  <si>
    <t>104. The Dancing Flame.</t>
  </si>
  <si>
    <t>105. The Candlelight Resort.</t>
  </si>
  <si>
    <t>106. The Sweetest Cherry.</t>
  </si>
  <si>
    <t>107. Cherry's.</t>
  </si>
  <si>
    <t>108. Cherry Pie.</t>
  </si>
  <si>
    <t>109. The Velvet Cherry.</t>
  </si>
  <si>
    <t>110. The Golden Cherry.</t>
  </si>
  <si>
    <t>111. The Silk Curtain.</t>
  </si>
  <si>
    <t>112. The Red Curtain.</t>
  </si>
  <si>
    <t>113. The Lacy Curtain.</t>
  </si>
  <si>
    <t>114. The Welcoming Curtain.</t>
  </si>
  <si>
    <t>115. The Satin Curtain.</t>
  </si>
  <si>
    <t>116. Satin Dolls.</t>
  </si>
  <si>
    <t>117. Sweet Dolls.</t>
  </si>
  <si>
    <t>118. Porcelain Dolls.</t>
  </si>
  <si>
    <t>119. The Sugar Doll.</t>
  </si>
  <si>
    <t>120. Dancers and Dolls.</t>
  </si>
  <si>
    <t>121. The Red Door.</t>
  </si>
  <si>
    <t>122. The Golden Door.</t>
  </si>
  <si>
    <t>123. The Silver Door.</t>
  </si>
  <si>
    <t>124. The Maiden's Door.</t>
  </si>
  <si>
    <t>125. The Dancers' Door.</t>
  </si>
  <si>
    <t>126. Lover's Embrace.</t>
  </si>
  <si>
    <t>127. Lady's Embrace.</t>
  </si>
  <si>
    <t>128. The Sweetest Embrace.</t>
  </si>
  <si>
    <t>129. The Warmest Embrace.</t>
  </si>
  <si>
    <t>130. Welcoming Embrace.</t>
  </si>
  <si>
    <t>131. The Satin Glove.</t>
  </si>
  <si>
    <t>132. Silky Gloves.</t>
  </si>
  <si>
    <t>133. Lacy Gloves.</t>
  </si>
  <si>
    <t>134. The Lady's Glove.</t>
  </si>
  <si>
    <t>135. The Maiden's Glove.</t>
  </si>
  <si>
    <t>136. The Shining Heart.</t>
  </si>
  <si>
    <t>137. Pink Hearts.</t>
  </si>
  <si>
    <t>138. Lacy Hearts.</t>
  </si>
  <si>
    <t>139. Sweetheart's</t>
  </si>
  <si>
    <t>140. The Maiden's Heart.</t>
  </si>
  <si>
    <t>141. The Night House.</t>
  </si>
  <si>
    <t>142. The Pink House.</t>
  </si>
  <si>
    <t>143. The Porcelain House.</t>
  </si>
  <si>
    <t>144. The Welcoming House.</t>
  </si>
  <si>
    <t>145. The Cozy House.</t>
  </si>
  <si>
    <t>146. The Warmest Lamp.</t>
  </si>
  <si>
    <t>147. The Red Lamp.</t>
  </si>
  <si>
    <t>148. The Pink Lamp.</t>
  </si>
  <si>
    <t>149. The Soft Lamp.</t>
  </si>
  <si>
    <t>150. The Lady's Lamp.</t>
  </si>
  <si>
    <t>151. The Lady's Kiss.</t>
  </si>
  <si>
    <t>152. The Maiden's Kiss.</t>
  </si>
  <si>
    <t>153. The Night's Kiss.</t>
  </si>
  <si>
    <t>154. Cozy Kisses.</t>
  </si>
  <si>
    <t>155. Satin Kisses.</t>
  </si>
  <si>
    <t>156. Peach's Place.</t>
  </si>
  <si>
    <t>157. The Peach.</t>
  </si>
  <si>
    <t>158. The Prettiest Peach.</t>
  </si>
  <si>
    <t>159. The Sweetest Peach.</t>
  </si>
  <si>
    <t>160. The Golden Peach.</t>
  </si>
  <si>
    <t>161. The Silky Purse.</t>
  </si>
  <si>
    <t>162. The Satin Purse.</t>
  </si>
  <si>
    <t>163. The Lady's Purse.</t>
  </si>
  <si>
    <t>164. The Dancer's Purse.</t>
  </si>
  <si>
    <t>165. The Pink Purse.</t>
  </si>
  <si>
    <t>166. The Maiden's Room.</t>
  </si>
  <si>
    <t>167. The Lovers' Room.</t>
  </si>
  <si>
    <t>168. The Night Room.</t>
  </si>
  <si>
    <t>169. The Warm Room.</t>
  </si>
  <si>
    <t>170. The Red Room.</t>
  </si>
  <si>
    <t>171. The Silver Slipper.</t>
  </si>
  <si>
    <t>172. The Satin Slipper.</t>
  </si>
  <si>
    <t>173. The Silk Slipper.</t>
  </si>
  <si>
    <t>174. The Red Slipper.</t>
  </si>
  <si>
    <t>175. The Dancer's Slipper.</t>
  </si>
  <si>
    <t>176. The Lacy Skirt.</t>
  </si>
  <si>
    <t>177. The Welcoming Skirt.</t>
  </si>
  <si>
    <t>178. The Pink Skirt.</t>
  </si>
  <si>
    <t>179. The Dancer's Skirt.</t>
  </si>
  <si>
    <t>180. The Lady's Skirt.</t>
  </si>
  <si>
    <t>181. The Maiden's Shoe.</t>
  </si>
  <si>
    <t>182. The Red Shoe.</t>
  </si>
  <si>
    <t>183. Cozy Shoes.</t>
  </si>
  <si>
    <t>184. Lovers' Shoes.</t>
  </si>
  <si>
    <t>185. Silver Shoes.</t>
  </si>
  <si>
    <t>186. Silky Stockings.</t>
  </si>
  <si>
    <t>187. The Red Stocking.</t>
  </si>
  <si>
    <t>188. The Lacy Stocking.</t>
  </si>
  <si>
    <t>189. The Lady's Stocking.</t>
  </si>
  <si>
    <t>190. The Softest Stockings.</t>
  </si>
  <si>
    <t>191. The Maiden's Veil.</t>
  </si>
  <si>
    <t>192. The Lacy Veil.</t>
  </si>
  <si>
    <t>193. The Silk Veil.</t>
  </si>
  <si>
    <t>194. The Lovers' Veil.</t>
  </si>
  <si>
    <t>195. The Veil of Night.</t>
  </si>
  <si>
    <t>196. Soft-Lighted Window.</t>
  </si>
  <si>
    <t>197. The Shining Window.</t>
  </si>
  <si>
    <t>198. The Lighted Window.</t>
  </si>
  <si>
    <t>199. The Pink Winodw.</t>
  </si>
  <si>
    <t>200. The Welcoming Window.</t>
  </si>
  <si>
    <t>d20 The brothel is located...</t>
  </si>
  <si>
    <t>1. In the slums.</t>
  </si>
  <si>
    <t>2. In a shantytown.</t>
  </si>
  <si>
    <t>3. In a well-to-do residential neighborhood.</t>
  </si>
  <si>
    <t>4. In the docks district.</t>
  </si>
  <si>
    <t>5. In the riverfront district.</t>
  </si>
  <si>
    <t>6. In the barracks district.</t>
  </si>
  <si>
    <t>7. In an ally off a foreign bazaar.</t>
  </si>
  <si>
    <t>8. In an ally off the main market square.</t>
  </si>
  <si>
    <t>9. In the shadow of a temple.</t>
  </si>
  <si>
    <t xml:space="preserve">10. Above a boisterous tavern. </t>
  </si>
  <si>
    <t>11. Behind a tavern teeming with criminals.</t>
  </si>
  <si>
    <t>12. Adjacent to a tavern full of gamblers.</t>
  </si>
  <si>
    <t>13. Underground.</t>
  </si>
  <si>
    <t>14. Outside the walls of the city or on the outskirts of a town.</t>
  </si>
  <si>
    <t>15. At the base of a wizards’ tower.</t>
  </si>
  <si>
    <t>16. In cave that had been a monster’s lair.</t>
  </si>
  <si>
    <t>17. Above an inn on a busy trading route.</t>
  </si>
  <si>
    <t>18. In the basement of a tavern.</t>
  </si>
  <si>
    <t>19. On a street with many other brothels.</t>
  </si>
  <si>
    <t>20. In a house in a park, garden, or forest.</t>
  </si>
  <si>
    <t>d10 In addition to the ‘usual’ everyday brothel fare, here you can procure...</t>
  </si>
  <si>
    <t>1. Really weird stuff, for those with the most interesting fetishes.</t>
  </si>
  <si>
    <t>2. Illegal stuff. If this is found out, the place would be burnt down, and the owners hung. It is clearly kept in great secret.</t>
  </si>
  <si>
    <t>3. Performances involving food.</t>
  </si>
  <si>
    <t>4. An outlet to live out violent fantasies.</t>
  </si>
  <si>
    <t>5. Exotic races.</t>
  </si>
  <si>
    <t>6. The most beautiful women and men. Not just a claim, it’s the gods’ honest truth.</t>
  </si>
  <si>
    <t>7. An all-inclusive lump-sum deal—all the harlots, food, and drink you can handle!</t>
  </si>
  <si>
    <t>8. The sale of mind-altering drugs.</t>
  </si>
  <si>
    <t>9. Stuff with exotic/magical ingredients, potions, etc.</t>
  </si>
  <si>
    <t>10. Magical delights.</t>
  </si>
  <si>
    <t>d8 The place is run by...</t>
  </si>
  <si>
    <t>1. A collective of the inmates themselves.</t>
  </si>
  <si>
    <t>2. A mean old madam.</t>
  </si>
  <si>
    <t>3. A large madam with a no-nonsense attitude.</t>
  </si>
  <si>
    <t>4. A warm motherly figure.</t>
  </si>
  <si>
    <t>5. A surly brute.</t>
  </si>
  <si>
    <t>6. A tyrannical and cruel fellow.</t>
  </si>
  <si>
    <t>7. A sultry seductress.</t>
  </si>
  <si>
    <t>8. A charming witch.</t>
  </si>
  <si>
    <t>d12 To eat, the place serves...</t>
  </si>
  <si>
    <t>1. Simple snacks.</t>
  </si>
  <si>
    <t>2. Banquets.</t>
  </si>
  <si>
    <t>3. Peasant food.</t>
  </si>
  <si>
    <t>4. Food hand-fed to you by a harlot.</t>
  </si>
  <si>
    <t>5. Exotic delights.</t>
  </si>
  <si>
    <t>6. Spicy treats.</t>
  </si>
  <si>
    <t>7. Simple food.</t>
  </si>
  <si>
    <t>8. Sweets and delicacies.</t>
  </si>
  <si>
    <t>9. Grubby, poorly made meals.</t>
  </si>
  <si>
    <t>10. All you can eat buffets.</t>
  </si>
  <si>
    <t>11. Simple stew and bread.</t>
  </si>
  <si>
    <t>12. Nothing; it satisfies other appetites.</t>
  </si>
  <si>
    <t>d8 To drink, the place serves...</t>
  </si>
  <si>
    <t>1. Ales.</t>
  </si>
  <si>
    <t>2. Cocktails</t>
  </si>
  <si>
    <t>3. Grog, and nothing but grog.</t>
  </si>
  <si>
    <t>4. Cheap wines.</t>
  </si>
  <si>
    <t>5. Mead.</t>
  </si>
  <si>
    <t>6. The finest wines and champagnes.</t>
  </si>
  <si>
    <t>7. Lagers.</t>
  </si>
  <si>
    <t>8. Nothing; inebriation is not tolerated.</t>
  </si>
  <si>
    <t>d10 People talk about this place; they say...</t>
  </si>
  <si>
    <t>1. The girls are underpaid and poorly treated.</t>
  </si>
  <si>
    <t>2. Nothing really; it’s a neighborhood brothel.</t>
  </si>
  <si>
    <t>3. A prominent noble or merchant is a regular.</t>
  </si>
  <si>
    <t>4. The goddess of love and fertility blessed this place and all her followers must visit.</t>
  </si>
  <si>
    <t>5. The usual stuff; a new girl is making a stir.</t>
  </si>
  <si>
    <t>6. Once a month it offers discounted services.</t>
  </si>
  <si>
    <t>7. It is secretly the home to a dark cult.</t>
  </si>
  <si>
    <t>8. All the inmates there are related.</t>
  </si>
  <si>
    <t>9. Nothing much, a popular girl is with child.</t>
  </si>
  <si>
    <t>10. You can pay for services with things other than coin (d6): 1. contract work; 2. criminal favors; 3. goods; 4. religious services; 5. secrets; 6. stock.</t>
  </si>
  <si>
    <t>d10 People talk about this place; rumors suggest that recently...</t>
  </si>
  <si>
    <t>1. A nobleman got one of the girls with child but refuses to acknowledge her or the baby.</t>
  </si>
  <si>
    <t>2. Someone slaughtered half of the workers and clients in the night.</t>
  </si>
  <si>
    <t>3. A client was stabbed with a letter opener.</t>
  </si>
  <si>
    <t>4. A man claiming to be a paragon of the god of love visited the place.</t>
  </si>
  <si>
    <t>5. A group of outraged townsfolk has started protesting outside of the brothel, disgusted with what it does.</t>
  </si>
  <si>
    <t>6. The oldest patron, who visited the brothel every day for the last fifty years has died. A day of mourning and celebration, along with a lavish funeral is being held for him.</t>
  </si>
  <si>
    <t>7. One of the inmates was strangled.</t>
  </si>
  <si>
    <t>8. One of the inmates has fallen madly in love with a client, but he or she is married.</t>
  </si>
  <si>
    <t>9. A sinkhole has appeared in the basement. No one can see bottom, and the boss worries it might grow and do more damage.</t>
  </si>
  <si>
    <t xml:space="preserve">10. Several clients have caught a disease. </t>
  </si>
  <si>
    <t>d10 Room Furnishings: This room has...</t>
  </si>
  <si>
    <t>1. A four-poster bed with velvet curtains.</t>
  </si>
  <si>
    <t>2. A four-poster bed with lacy curtains.</t>
  </si>
  <si>
    <t>3. A soft, leather chaise lounge.</t>
  </si>
  <si>
    <t>4. A plush, pink chaise lounge.</t>
  </si>
  <si>
    <t>5. A large pile of pillows with soft tassels.</t>
  </si>
  <si>
    <t>6. A large pile of pillows with frilly edges.</t>
  </si>
  <si>
    <t>7. A table with fruit and wine set upon it.</t>
  </si>
  <si>
    <t>8. A table with perfumes and oils set upon it.</t>
  </si>
  <si>
    <t>9. A large mirror against one wall.</t>
  </si>
  <si>
    <t>10. A large mirror on the ceiling over the bed.</t>
  </si>
  <si>
    <t>1. The scent of lavender.</t>
  </si>
  <si>
    <t>2. The scent of lilac perfume.</t>
  </si>
  <si>
    <t>3. The scent of ginger and cinnamon.</t>
  </si>
  <si>
    <t>4. The scent of roses.</t>
  </si>
  <si>
    <t>5. Scented candles.</t>
  </si>
  <si>
    <t>6. The soft red glow from a shaded lamp.</t>
  </si>
  <si>
    <t>7. A lamp burning dimly.</t>
  </si>
  <si>
    <t>8. A statue of two figures kissing.</t>
  </si>
  <si>
    <t>9. A statue of two figures coupling.</t>
  </si>
  <si>
    <t>10. A statue of a nude woman bathing.</t>
  </si>
  <si>
    <t>11. A painting of several nudes bathing.</t>
  </si>
  <si>
    <t>12. A painting of a pair of lovers.</t>
  </si>
  <si>
    <t>13. A curtain of beads.</t>
  </si>
  <si>
    <t>14. A silky curtain.</t>
  </si>
  <si>
    <t>15. A plush carpet beneath your feet.</t>
  </si>
  <si>
    <t>16. A thick fur carpet beneath your feet.</t>
  </si>
  <si>
    <t>17. The sound of distant, soft music.</t>
  </si>
  <si>
    <t>18. The sound of furniture creaking nearby.</t>
  </si>
  <si>
    <t>19. A lengthy, shrill scream.</t>
  </si>
  <si>
    <t>20. A long moan.</t>
  </si>
  <si>
    <t>d2 The noble’s gender is</t>
  </si>
  <si>
    <t>1. male</t>
  </si>
  <si>
    <t>2. female</t>
  </si>
  <si>
    <t>d10 The party</t>
  </si>
  <si>
    <t>1. finds a hastily scrawled note that used finger tips as the pen and blood as the ink</t>
  </si>
  <si>
    <t>2. experiences a vision of the keep and noble has been reoccurring in your dreams</t>
  </si>
  <si>
    <t>3. is shown a missing person notice posted by the noble’s family</t>
  </si>
  <si>
    <t>4. stumbles upon the keep by chance while out adventuring</t>
  </si>
  <si>
    <t>5. overhears a pair of knights recounting their failure in retreat</t>
  </si>
  <si>
    <t>6. is asked to investigate the keep(er) due to suspicious activity</t>
  </si>
  <si>
    <t>7. is stopped by woodland creatures who all begin chattering frantically about the situation</t>
  </si>
  <si>
    <t>8. hears gossip in the tavern about the noble’s whereabouts</t>
  </si>
  <si>
    <t>9. is told about the scenario by a traveling oracle</t>
  </si>
  <si>
    <t>10. is captured and taken by the keeper’s henchmen</t>
  </si>
  <si>
    <t>d10 The noble is being kept in</t>
  </si>
  <si>
    <t>1. a large magnificent castle on the mountainside</t>
  </si>
  <si>
    <t>2. a cave burrowed into the side of a hill</t>
  </si>
  <si>
    <t>3. a pocket dimension that opens only on the full moon</t>
  </si>
  <si>
    <t>4. a sunken castle with an enchantment that permits water breathing inside of it</t>
  </si>
  <si>
    <t>5. the brig of a ship anchored just off the coast</t>
  </si>
  <si>
    <t>6. an abandoned, overgrown temple in the woods</t>
  </si>
  <si>
    <t>7. a travelling caravan that is difficult to track down</t>
  </si>
  <si>
    <t>8. a crypt hidden beneath a graveyard</t>
  </si>
  <si>
    <t>9. a magical prison inside an amulet worn by the keeper</t>
  </si>
  <si>
    <t>10. a hidden kingdom under the ground</t>
  </si>
  <si>
    <t>d10 The noble is being held by</t>
  </si>
  <si>
    <t>1. an old witch with imps for henchmen</t>
  </si>
  <si>
    <t>2. a vampire lord with thrall for henchmen</t>
  </si>
  <si>
    <t>3. a beholder with nothic henchmen</t>
  </si>
  <si>
    <t>4. a bandit lord with bandit henchmen</t>
  </si>
  <si>
    <t>5. a green dragon with half-dragon henchmen</t>
  </si>
  <si>
    <t>6. a powerful wizard with golem henchmen</t>
  </si>
  <si>
    <t>7. a medusa with living statues as henchmen</t>
  </si>
  <si>
    <t>8. a lich and his skeleton henchmen</t>
  </si>
  <si>
    <t>9. a satyr prince and his satyr henchmen</t>
  </si>
  <si>
    <t>10. an orc warchief and his orc henchmen</t>
  </si>
  <si>
    <t>d10 The keeper wants</t>
  </si>
  <si>
    <t>1. gold in exchange</t>
  </si>
  <si>
    <t>2. the noble as a slave</t>
  </si>
  <si>
    <t>3. to make a blood sacrifice to their god</t>
  </si>
  <si>
    <t>4. to use the noble as bait to lure in more prey</t>
  </si>
  <si>
    <t>5. to sell them to the highest bidder overseas</t>
  </si>
  <si>
    <t>6. to spark war between nations</t>
  </si>
  <si>
    <t>7. the noble as a suitor for their son/daughter</t>
  </si>
  <si>
    <t>8. to fill the void in their life that was caused by a loved one dying</t>
  </si>
  <si>
    <t>9. to keep the noble even though taking them happened by accident</t>
  </si>
  <si>
    <t>10. to fulfill tradition, it’s nothing personal</t>
  </si>
  <si>
    <t>d10 The noble in question is</t>
  </si>
  <si>
    <t>1. beautiful/handsome beyond expression</t>
  </si>
  <si>
    <t>2. ugly as sin</t>
  </si>
  <si>
    <t>3. quite overweight</t>
  </si>
  <si>
    <t>4. much taller than you expected</t>
  </si>
  <si>
    <t>5. much shorted than you expected</t>
  </si>
  <si>
    <t>6. very thin and looking under-fed</t>
  </si>
  <si>
    <t>7. unusually muscular</t>
  </si>
  <si>
    <t>8. missing all of their hair</t>
  </si>
  <si>
    <t>9. much older compared to their description</t>
  </si>
  <si>
    <t>10. completely naked and [roll again]</t>
  </si>
  <si>
    <t>d10 The real problem is</t>
  </si>
  <si>
    <t>1. the noble wants to stay</t>
  </si>
  <si>
    <t>2. the noble insists their family doesn’t really want them to come back</t>
  </si>
  <si>
    <t>3. the noble has been placed into a catatonic dream state</t>
  </si>
  <si>
    <t>4. the noble dies on the way back home</t>
  </si>
  <si>
    <t>5. the noble falls in love with a party member and doesn’t want to leave them</t>
  </si>
  <si>
    <t>6. the noble is an illusion and is being kept somewhere else [Roll another location]</t>
  </si>
  <si>
    <t>7. there are six nobles who all look similar to the description</t>
  </si>
  <si>
    <t>8. the noble is the opposite gender than what you were told</t>
  </si>
  <si>
    <t>9. the noble attacks the party in a frenzy and won’t stop until calmed down or knocked unconscious</t>
  </si>
  <si>
    <t>10. the noble gets captured again by someone else on the way back [Start over at The damsel is being kept in]</t>
  </si>
  <si>
    <t>d10 Not until much later the party discovers that</t>
  </si>
  <si>
    <t>1. it was the wrong noble. Oops</t>
  </si>
  <si>
    <t>2. the noble is a doppleganger looking to infiltrate the family</t>
  </si>
  <si>
    <t>3. the family did it as a publicity stunt to gain attention and sympathy</t>
  </si>
  <si>
    <t>4. the noble has been getting captured on purpose to escape their family</t>
  </si>
  <si>
    <t>5. the family isn’t offering any payment for the noble’s return</t>
  </si>
  <si>
    <t>6. someone else is offering more gold for the noble than the family</t>
  </si>
  <si>
    <t>7. all members that family the noble belongs to have since died</t>
  </si>
  <si>
    <t>8. the noble was likely happier with the keeper</t>
  </si>
  <si>
    <t>9. the noble wants to be freed to go where they choose rather than back home</t>
  </si>
  <si>
    <t>10. the noble is actually a powerful wizard who invented the whole scenario to see if there is anyone of valor still left in the world</t>
  </si>
  <si>
    <t>Quick and easy relic recipes:</t>
  </si>
  <si>
    <r>
      <t>Step 1.</t>
    </r>
    <r>
      <rPr>
        <sz val="11"/>
        <color rgb="FF1A1A1B"/>
        <rFont val="Arial"/>
        <family val="2"/>
        <charset val="204"/>
      </rPr>
      <t> Choose 'holy' or 'unholy' adjectives; choose a type of name to use, [a] gods from D&amp;D canon material, [b] gods from The World (where I run my campaign), or [c] saints/prophets from The World.</t>
    </r>
  </si>
  <si>
    <r>
      <t>Step 2.</t>
    </r>
    <r>
      <rPr>
        <sz val="11"/>
        <color rgb="FF1A1A1B"/>
        <rFont val="Arial"/>
        <family val="2"/>
        <charset val="204"/>
      </rPr>
      <t> Roll d100, three times.</t>
    </r>
  </si>
  <si>
    <r>
      <t>Step 3.</t>
    </r>
    <r>
      <rPr>
        <sz val="11"/>
        <color rgb="FF1A1A1B"/>
        <rFont val="Arial"/>
        <family val="2"/>
        <charset val="204"/>
      </rPr>
      <t> Build the name of the relic: </t>
    </r>
    <r>
      <rPr>
        <b/>
        <sz val="11"/>
        <color rgb="FF1A1A1B"/>
        <rFont val="Inherit"/>
      </rPr>
      <t>The [ADJECTIVE] [RELIC] of [NAME]</t>
    </r>
  </si>
  <si>
    <r>
      <t>Step 4.</t>
    </r>
    <r>
      <rPr>
        <sz val="11"/>
        <color rgb="FF1A1A1B"/>
        <rFont val="Arial"/>
        <family val="2"/>
        <charset val="204"/>
      </rPr>
      <t> Look up the name and invent a little story.</t>
    </r>
  </si>
  <si>
    <t>d100</t>
  </si>
  <si>
    <t>Adjective (Holy)</t>
  </si>
  <si>
    <t>Adjective (Unholy)</t>
  </si>
  <si>
    <t>Relic</t>
  </si>
  <si>
    <t>God (D&amp;D Canon)</t>
  </si>
  <si>
    <t>God (The World)</t>
  </si>
  <si>
    <t>Saint/Prophet</t>
  </si>
  <si>
    <t>1.</t>
  </si>
  <si>
    <t>Airborn</t>
  </si>
  <si>
    <t>Abyssal</t>
  </si>
  <si>
    <t>Amulet</t>
  </si>
  <si>
    <t>Annam</t>
  </si>
  <si>
    <t>Our Lady</t>
  </si>
  <si>
    <t>Almar the Holy</t>
  </si>
  <si>
    <t>2.</t>
  </si>
  <si>
    <t>Almighty</t>
  </si>
  <si>
    <t>Acid</t>
  </si>
  <si>
    <t>Ark</t>
  </si>
  <si>
    <t>Asmodeus</t>
  </si>
  <si>
    <t>Our Mother</t>
  </si>
  <si>
    <t>Amaya the Seeress</t>
  </si>
  <si>
    <t>3.</t>
  </si>
  <si>
    <t>Ancient</t>
  </si>
  <si>
    <t>Arrow</t>
  </si>
  <si>
    <t>Auril</t>
  </si>
  <si>
    <t>the Ancient Flame</t>
  </si>
  <si>
    <t>Bahak the Preacher</t>
  </si>
  <si>
    <t>4.</t>
  </si>
  <si>
    <t>Ascendant</t>
  </si>
  <si>
    <t>Ashen</t>
  </si>
  <si>
    <t>Axe</t>
  </si>
  <si>
    <t>Avandra</t>
  </si>
  <si>
    <t>the Ancient Oak</t>
  </si>
  <si>
    <t>Bahruz the Prophet</t>
  </si>
  <si>
    <t>5.</t>
  </si>
  <si>
    <t>Blessed</t>
  </si>
  <si>
    <t>Black</t>
  </si>
  <si>
    <t>Baldric</t>
  </si>
  <si>
    <t>Azuth</t>
  </si>
  <si>
    <t>the Autumn Singer</t>
  </si>
  <si>
    <t>Lira the Flamekeeper</t>
  </si>
  <si>
    <t>6.</t>
  </si>
  <si>
    <t>Blue</t>
  </si>
  <si>
    <t>Blackened</t>
  </si>
  <si>
    <t>Barrel</t>
  </si>
  <si>
    <t>Bahamut</t>
  </si>
  <si>
    <t>the Bat</t>
  </si>
  <si>
    <t>Mozar the Conqueror</t>
  </si>
  <si>
    <t>7.</t>
  </si>
  <si>
    <t>Bronze</t>
  </si>
  <si>
    <t>Blacksteel</t>
  </si>
  <si>
    <t>Basin</t>
  </si>
  <si>
    <t>Bane</t>
  </si>
  <si>
    <t>the Battle-Lord</t>
  </si>
  <si>
    <t>Prince Tarunal</t>
  </si>
  <si>
    <t>8.</t>
  </si>
  <si>
    <t>Burning</t>
  </si>
  <si>
    <t>Blasphemous</t>
  </si>
  <si>
    <t>Belt</t>
  </si>
  <si>
    <t>Baphomet</t>
  </si>
  <si>
    <t>the Bear</t>
  </si>
  <si>
    <t>Queen Kalissa</t>
  </si>
  <si>
    <t>9.</t>
  </si>
  <si>
    <t>Ceaseless</t>
  </si>
  <si>
    <t>Bloodstone</t>
  </si>
  <si>
    <t>Blade</t>
  </si>
  <si>
    <t>Beory</t>
  </si>
  <si>
    <t>the Beast</t>
  </si>
  <si>
    <t>Rahal the Sunsoul</t>
  </si>
  <si>
    <t>10.</t>
  </si>
  <si>
    <t>Celestial</t>
  </si>
  <si>
    <t>Bony</t>
  </si>
  <si>
    <t>Bones</t>
  </si>
  <si>
    <t>Bhaal</t>
  </si>
  <si>
    <t>the Beast-Tamer</t>
  </si>
  <si>
    <t>Raham the Lightbringer</t>
  </si>
  <si>
    <t>11.</t>
  </si>
  <si>
    <t>Charming</t>
  </si>
  <si>
    <t>Brass</t>
  </si>
  <si>
    <t>Boots</t>
  </si>
  <si>
    <t>Boccob</t>
  </si>
  <si>
    <t>the Beast-Wife</t>
  </si>
  <si>
    <t>St. Aemilia</t>
  </si>
  <si>
    <t>12.</t>
  </si>
  <si>
    <t>Colossal</t>
  </si>
  <si>
    <t>Brutal</t>
  </si>
  <si>
    <t>Bow</t>
  </si>
  <si>
    <t>Celestian</t>
  </si>
  <si>
    <t>the Beauty Queen</t>
  </si>
  <si>
    <t>St. Albus</t>
  </si>
  <si>
    <t>13.</t>
  </si>
  <si>
    <t>Consecarted</t>
  </si>
  <si>
    <t>Bowl</t>
  </si>
  <si>
    <t>Chauntea</t>
  </si>
  <si>
    <t>the Blood-Bringer</t>
  </si>
  <si>
    <t>St. Anglos</t>
  </si>
  <si>
    <t>14.</t>
  </si>
  <si>
    <t>Crystal</t>
  </si>
  <si>
    <t>Callous</t>
  </si>
  <si>
    <t>Bracers</t>
  </si>
  <si>
    <t>Corellon Larethian</t>
  </si>
  <si>
    <t>the Burning Man</t>
  </si>
  <si>
    <t>St. Antonia</t>
  </si>
  <si>
    <t>15.</t>
  </si>
  <si>
    <t>Curing</t>
  </si>
  <si>
    <t>Chained</t>
  </si>
  <si>
    <t>Breastplate</t>
  </si>
  <si>
    <t>Cyndor</t>
  </si>
  <si>
    <t>the Crone</t>
  </si>
  <si>
    <t>St. Antonus</t>
  </si>
  <si>
    <t>16.</t>
  </si>
  <si>
    <t>Diamond</t>
  </si>
  <si>
    <t>Buckler</t>
  </si>
  <si>
    <t>Cyric</t>
  </si>
  <si>
    <t>the Cruel King</t>
  </si>
  <si>
    <t>St. Austyn</t>
  </si>
  <si>
    <t>17.</t>
  </si>
  <si>
    <t>Emerald</t>
  </si>
  <si>
    <t>Clawed</t>
  </si>
  <si>
    <t>Candle</t>
  </si>
  <si>
    <t>Daern</t>
  </si>
  <si>
    <t>the Dark Lady</t>
  </si>
  <si>
    <t>St. Bardo</t>
  </si>
  <si>
    <t>18.</t>
  </si>
  <si>
    <t>Eminent</t>
  </si>
  <si>
    <t>Crawling</t>
  </si>
  <si>
    <t>Chainmail</t>
  </si>
  <si>
    <t>Demogorgon</t>
  </si>
  <si>
    <t>the Dark Lord</t>
  </si>
  <si>
    <t>St. Beatrix</t>
  </si>
  <si>
    <t>19.</t>
  </si>
  <si>
    <t>Eternal</t>
  </si>
  <si>
    <t>Cruel</t>
  </si>
  <si>
    <t>Chains</t>
  </si>
  <si>
    <t>Deneir</t>
  </si>
  <si>
    <t>the Dark Prophet</t>
  </si>
  <si>
    <t>St. Berta</t>
  </si>
  <si>
    <t>20.</t>
  </si>
  <si>
    <t>Ethereal</t>
  </si>
  <si>
    <t>Cursed</t>
  </si>
  <si>
    <t>Chalice</t>
  </si>
  <si>
    <t>Doresain</t>
  </si>
  <si>
    <t>the Death Harbinger</t>
  </si>
  <si>
    <t>St. Bettius</t>
  </si>
  <si>
    <t>21.</t>
  </si>
  <si>
    <t>Everlasting</t>
  </si>
  <si>
    <t>Dark</t>
  </si>
  <si>
    <t>Chest</t>
  </si>
  <si>
    <t>Ehlonna</t>
  </si>
  <si>
    <t>the Doom Harbinger</t>
  </si>
  <si>
    <t>St. Bryenn</t>
  </si>
  <si>
    <t>22.</t>
  </si>
  <si>
    <t>Fabled</t>
  </si>
  <si>
    <t>Darkstone</t>
  </si>
  <si>
    <t>Circlet</t>
  </si>
  <si>
    <t>Eldath</t>
  </si>
  <si>
    <t>the Doom-Maker</t>
  </si>
  <si>
    <t>St. Buttercup</t>
  </si>
  <si>
    <t>23.</t>
  </si>
  <si>
    <t>Famous</t>
  </si>
  <si>
    <t>Deathly</t>
  </si>
  <si>
    <t>Claw</t>
  </si>
  <si>
    <t>Erathis</t>
  </si>
  <si>
    <t>the Eagle</t>
  </si>
  <si>
    <t>St. Carolo</t>
  </si>
  <si>
    <t>24.</t>
  </si>
  <si>
    <t>Feathered</t>
  </si>
  <si>
    <t>Decaying</t>
  </si>
  <si>
    <t>Cloak</t>
  </si>
  <si>
    <t>Erythnul</t>
  </si>
  <si>
    <t>the Earth-Mother</t>
  </si>
  <si>
    <t>St. Cedrick</t>
  </si>
  <si>
    <t>25.</t>
  </si>
  <si>
    <t>Flaming</t>
  </si>
  <si>
    <t>Desecrated</t>
  </si>
  <si>
    <t>Coat</t>
  </si>
  <si>
    <t>Fharlanghn</t>
  </si>
  <si>
    <t>the Earth-Queen</t>
  </si>
  <si>
    <t>St. Cordelia</t>
  </si>
  <si>
    <t>26.</t>
  </si>
  <si>
    <t>Floating</t>
  </si>
  <si>
    <t>Diseased</t>
  </si>
  <si>
    <t>Coffin</t>
  </si>
  <si>
    <t>Garl Glittergold</t>
  </si>
  <si>
    <t>the Enemy</t>
  </si>
  <si>
    <t>St. Cowhan</t>
  </si>
  <si>
    <t>27.</t>
  </si>
  <si>
    <t>Flying</t>
  </si>
  <si>
    <t>Disentegrating</t>
  </si>
  <si>
    <t>Crown</t>
  </si>
  <si>
    <t>Gond</t>
  </si>
  <si>
    <t>the Eternal Light</t>
  </si>
  <si>
    <t>St. Cumberbund</t>
  </si>
  <si>
    <t>28.</t>
  </si>
  <si>
    <t>Forceful</t>
  </si>
  <si>
    <t>Dragonfang</t>
  </si>
  <si>
    <t>Cudgel</t>
  </si>
  <si>
    <t>Gruumsh</t>
  </si>
  <si>
    <t>the Eternal Sage</t>
  </si>
  <si>
    <t>St. Dorys</t>
  </si>
  <si>
    <t>29.</t>
  </si>
  <si>
    <t>Gentle</t>
  </si>
  <si>
    <t>Dragonscale</t>
  </si>
  <si>
    <t>Cup</t>
  </si>
  <si>
    <t>Halmyr</t>
  </si>
  <si>
    <t>the Fair Maiden</t>
  </si>
  <si>
    <t>St. Dreddos</t>
  </si>
  <si>
    <t>30.</t>
  </si>
  <si>
    <t>Ghostly</t>
  </si>
  <si>
    <t>Dagger</t>
  </si>
  <si>
    <t>Heironeous</t>
  </si>
  <si>
    <t>the Fatespinner</t>
  </si>
  <si>
    <t>St. Dwayn</t>
  </si>
  <si>
    <t>31.</t>
  </si>
  <si>
    <t>Glass</t>
  </si>
  <si>
    <t>Exploding</t>
  </si>
  <si>
    <t>Drum</t>
  </si>
  <si>
    <t>Helm</t>
  </si>
  <si>
    <t>the Felled Tree</t>
  </si>
  <si>
    <t>St. Edwynna</t>
  </si>
  <si>
    <t>32.</t>
  </si>
  <si>
    <t>Glorious</t>
  </si>
  <si>
    <t>Ear</t>
  </si>
  <si>
    <t>Heward</t>
  </si>
  <si>
    <t>the Fire Dragon</t>
  </si>
  <si>
    <t>St. Elayne</t>
  </si>
  <si>
    <t>33.</t>
  </si>
  <si>
    <t>Glowing</t>
  </si>
  <si>
    <t>Fallen</t>
  </si>
  <si>
    <t>Earrings</t>
  </si>
  <si>
    <t>Hextor</t>
  </si>
  <si>
    <t>the Forest Keeper</t>
  </si>
  <si>
    <t>St. Falstyus</t>
  </si>
  <si>
    <t>34.</t>
  </si>
  <si>
    <t>Golden</t>
  </si>
  <si>
    <t>Fell</t>
  </si>
  <si>
    <t>Epistles</t>
  </si>
  <si>
    <t>Ilmater</t>
  </si>
  <si>
    <t>the Frog</t>
  </si>
  <si>
    <t>St. Farcas</t>
  </si>
  <si>
    <t>35.</t>
  </si>
  <si>
    <t>Granite</t>
  </si>
  <si>
    <t>Feather</t>
  </si>
  <si>
    <t>Incabulos</t>
  </si>
  <si>
    <t>the Gloom-Spider</t>
  </si>
  <si>
    <t>St. Florenzo</t>
  </si>
  <si>
    <t>36.</t>
  </si>
  <si>
    <t>Green</t>
  </si>
  <si>
    <t>Finger</t>
  </si>
  <si>
    <t>Ioun</t>
  </si>
  <si>
    <t>the Goddess</t>
  </si>
  <si>
    <t>St. Gabrella</t>
  </si>
  <si>
    <t>37.</t>
  </si>
  <si>
    <t>Grey</t>
  </si>
  <si>
    <t>Forgotten</t>
  </si>
  <si>
    <t>Flail</t>
  </si>
  <si>
    <t>Istus</t>
  </si>
  <si>
    <t>the Grain-Grower</t>
  </si>
  <si>
    <t>St. Gaiorgus</t>
  </si>
  <si>
    <t>38.</t>
  </si>
  <si>
    <t>Healing</t>
  </si>
  <si>
    <t>Frightful</t>
  </si>
  <si>
    <t>Flute</t>
  </si>
  <si>
    <t>Iuz</t>
  </si>
  <si>
    <t>the Great Huntress</t>
  </si>
  <si>
    <t>St. Goodkynd</t>
  </si>
  <si>
    <t>39.</t>
  </si>
  <si>
    <t>Heavenly</t>
  </si>
  <si>
    <t>Foot</t>
  </si>
  <si>
    <t>Joramy</t>
  </si>
  <si>
    <t>the Great Protector</t>
  </si>
  <si>
    <t>St. Hal</t>
  </si>
  <si>
    <t>40.</t>
  </si>
  <si>
    <t>Holiest</t>
  </si>
  <si>
    <t>Ghoulish</t>
  </si>
  <si>
    <t>Gauntlets</t>
  </si>
  <si>
    <t>Kelanen</t>
  </si>
  <si>
    <t>the Great Smith</t>
  </si>
  <si>
    <t>St. Halcincas</t>
  </si>
  <si>
    <t>41.</t>
  </si>
  <si>
    <t>Holy</t>
  </si>
  <si>
    <t>Gem</t>
  </si>
  <si>
    <t>Kelemvor</t>
  </si>
  <si>
    <t>the Horned One</t>
  </si>
  <si>
    <t>St. Haroldus</t>
  </si>
  <si>
    <t>42.</t>
  </si>
  <si>
    <t>Illuminated</t>
  </si>
  <si>
    <t>Gloom</t>
  </si>
  <si>
    <t>Globe</t>
  </si>
  <si>
    <t>Keoghtom</t>
  </si>
  <si>
    <t>the Judge</t>
  </si>
  <si>
    <t>St. Hemingwar</t>
  </si>
  <si>
    <t>43.</t>
  </si>
  <si>
    <t>Inexorable</t>
  </si>
  <si>
    <t>Goblet</t>
  </si>
  <si>
    <t>Khala</t>
  </si>
  <si>
    <t>the King Beneath the Waves</t>
  </si>
  <si>
    <t>St. Heraclora</t>
  </si>
  <si>
    <t>44.</t>
  </si>
  <si>
    <t>Invincible</t>
  </si>
  <si>
    <t>Hammer</t>
  </si>
  <si>
    <t>Kord</t>
  </si>
  <si>
    <t>the Lawgiver</t>
  </si>
  <si>
    <t>St. Hermioninny</t>
  </si>
  <si>
    <t>45.</t>
  </si>
  <si>
    <t>Just</t>
  </si>
  <si>
    <t>Hellborn</t>
  </si>
  <si>
    <t>Hand</t>
  </si>
  <si>
    <t>Kurtulmak</t>
  </si>
  <si>
    <t>the Life-Keeper</t>
  </si>
  <si>
    <t>St. Hieronymus</t>
  </si>
  <si>
    <t>46.</t>
  </si>
  <si>
    <t>Learned</t>
  </si>
  <si>
    <t>Hellish</t>
  </si>
  <si>
    <t>Harp</t>
  </si>
  <si>
    <t>Kyuss</t>
  </si>
  <si>
    <t>the Life-Tree</t>
  </si>
  <si>
    <t>St. Inigo</t>
  </si>
  <si>
    <t>47.</t>
  </si>
  <si>
    <t>Legendary</t>
  </si>
  <si>
    <t>Lathander</t>
  </si>
  <si>
    <t>the Light's Son</t>
  </si>
  <si>
    <t>St. Jordyn</t>
  </si>
  <si>
    <t>48.</t>
  </si>
  <si>
    <t>Life</t>
  </si>
  <si>
    <t>Howling</t>
  </si>
  <si>
    <t>Horn</t>
  </si>
  <si>
    <t>Leira</t>
  </si>
  <si>
    <t>the Magic-Maid</t>
  </si>
  <si>
    <t>St. Katrynn</t>
  </si>
  <si>
    <t>49.</t>
  </si>
  <si>
    <t>Lighted</t>
  </si>
  <si>
    <t>Indomitable</t>
  </si>
  <si>
    <t>Kettle</t>
  </si>
  <si>
    <t>Liliira</t>
  </si>
  <si>
    <t>the Messenger</t>
  </si>
  <si>
    <t>St. Lannus</t>
  </si>
  <si>
    <t>50.</t>
  </si>
  <si>
    <t>Lightning</t>
  </si>
  <si>
    <t>Infamous</t>
  </si>
  <si>
    <t>Knife</t>
  </si>
  <si>
    <t>Lolth</t>
  </si>
  <si>
    <t>the Mighty Hunter</t>
  </si>
  <si>
    <t>St. Leo</t>
  </si>
  <si>
    <t>51.</t>
  </si>
  <si>
    <t>Lofty</t>
  </si>
  <si>
    <t>Infernal</t>
  </si>
  <si>
    <t>Knot</t>
  </si>
  <si>
    <t>Loviatar</t>
  </si>
  <si>
    <t>the Mighty One</t>
  </si>
  <si>
    <t>St. Leryo</t>
  </si>
  <si>
    <t>52.</t>
  </si>
  <si>
    <t>Long Lost</t>
  </si>
  <si>
    <t>Iron</t>
  </si>
  <si>
    <t>Lantern</t>
  </si>
  <si>
    <t>Maglubiyet</t>
  </si>
  <si>
    <t>the Mighty Warrior</t>
  </si>
  <si>
    <t>St. Londyn</t>
  </si>
  <si>
    <t>53.</t>
  </si>
  <si>
    <t>Lost</t>
  </si>
  <si>
    <t>Irresistible</t>
  </si>
  <si>
    <t>Light</t>
  </si>
  <si>
    <t>Malar</t>
  </si>
  <si>
    <t>the Mischief-Maker</t>
  </si>
  <si>
    <t>St. Magio</t>
  </si>
  <si>
    <t>54.</t>
  </si>
  <si>
    <t>Lucky</t>
  </si>
  <si>
    <t>Jade</t>
  </si>
  <si>
    <t>Longsword</t>
  </si>
  <si>
    <t>Mask</t>
  </si>
  <si>
    <t>the Moon-Witch</t>
  </si>
  <si>
    <t>St. Marius</t>
  </si>
  <si>
    <t>55.</t>
  </si>
  <si>
    <t>Medicinal</t>
  </si>
  <si>
    <t>Jagged</t>
  </si>
  <si>
    <t>Mace</t>
  </si>
  <si>
    <t>Melora</t>
  </si>
  <si>
    <t>the Mountain Forger</t>
  </si>
  <si>
    <t>St. Markuz</t>
  </si>
  <si>
    <t>56.</t>
  </si>
  <si>
    <t>Mighty</t>
  </si>
  <si>
    <t>Leathery</t>
  </si>
  <si>
    <t>Mielikki</t>
  </si>
  <si>
    <t>the Night Queen</t>
  </si>
  <si>
    <t>St. Martyn</t>
  </si>
  <si>
    <t>57.</t>
  </si>
  <si>
    <t>Moonstone</t>
  </si>
  <si>
    <t>Mirror</t>
  </si>
  <si>
    <t>Milil</t>
  </si>
  <si>
    <t>the Oathkeeper</t>
  </si>
  <si>
    <t>St. Matromus</t>
  </si>
  <si>
    <t>58.</t>
  </si>
  <si>
    <t>Oaken</t>
  </si>
  <si>
    <t>Morningstar</t>
  </si>
  <si>
    <t>Moradin</t>
  </si>
  <si>
    <t>the Oracle</t>
  </si>
  <si>
    <t>St. Morrsona</t>
  </si>
  <si>
    <t>59.</t>
  </si>
  <si>
    <t>Peaceful</t>
  </si>
  <si>
    <t>Nail</t>
  </si>
  <si>
    <t>Myrkul</t>
  </si>
  <si>
    <t>the Prophet</t>
  </si>
  <si>
    <t>St. Morwayne</t>
  </si>
  <si>
    <t>60.</t>
  </si>
  <si>
    <t>Pious</t>
  </si>
  <si>
    <t>Magma</t>
  </si>
  <si>
    <t>Necklace</t>
  </si>
  <si>
    <t>Mystra</t>
  </si>
  <si>
    <t>the Sacred Grove</t>
  </si>
  <si>
    <t>St. Murkel</t>
  </si>
  <si>
    <t>61.</t>
  </si>
  <si>
    <t>Platinum</t>
  </si>
  <si>
    <t>Orb</t>
  </si>
  <si>
    <t>Nerull</t>
  </si>
  <si>
    <t>the Savior</t>
  </si>
  <si>
    <t>St. Mychel</t>
  </si>
  <si>
    <t>62.</t>
  </si>
  <si>
    <t>Praising</t>
  </si>
  <si>
    <t>Pestle</t>
  </si>
  <si>
    <t>Obad-Hai</t>
  </si>
  <si>
    <t>the Scorpion</t>
  </si>
  <si>
    <t>St. Nyneva</t>
  </si>
  <si>
    <t>63.</t>
  </si>
  <si>
    <t>Pristine</t>
  </si>
  <si>
    <t>Necrotic</t>
  </si>
  <si>
    <t>Purse</t>
  </si>
  <si>
    <t>Oghma</t>
  </si>
  <si>
    <t>the Sea Dragon</t>
  </si>
  <si>
    <t>St. Paolo</t>
  </si>
  <si>
    <t>64.</t>
  </si>
  <si>
    <t>Radiant</t>
  </si>
  <si>
    <t>Obsidian</t>
  </si>
  <si>
    <t>Quarterstaff</t>
  </si>
  <si>
    <t>Olidammara</t>
  </si>
  <si>
    <t>the Sea God</t>
  </si>
  <si>
    <t>St. Parrinus</t>
  </si>
  <si>
    <t>65.</t>
  </si>
  <si>
    <t>Red</t>
  </si>
  <si>
    <t>Poisoned</t>
  </si>
  <si>
    <t>Quill</t>
  </si>
  <si>
    <t>Orcus</t>
  </si>
  <si>
    <t>the Sea Queen</t>
  </si>
  <si>
    <t>St. Perseon</t>
  </si>
  <si>
    <t>66.</t>
  </si>
  <si>
    <t>Reflecting</t>
  </si>
  <si>
    <t>Profane</t>
  </si>
  <si>
    <t>Ring</t>
  </si>
  <si>
    <t>Pelor</t>
  </si>
  <si>
    <t>the Seductress</t>
  </si>
  <si>
    <t>St. Petyr</t>
  </si>
  <si>
    <t>67.</t>
  </si>
  <si>
    <t>Regenerating</t>
  </si>
  <si>
    <t>Rotting</t>
  </si>
  <si>
    <t>Robe</t>
  </si>
  <si>
    <t>Pholtus</t>
  </si>
  <si>
    <t>the Shadow</t>
  </si>
  <si>
    <t>St. Podryck</t>
  </si>
  <si>
    <t>68.</t>
  </si>
  <si>
    <t>Restoring</t>
  </si>
  <si>
    <t>Ruby</t>
  </si>
  <si>
    <t>Rod</t>
  </si>
  <si>
    <t>Procan</t>
  </si>
  <si>
    <t>the Shadowkeeper</t>
  </si>
  <si>
    <t>St. Polly</t>
  </si>
  <si>
    <t>69.</t>
  </si>
  <si>
    <t>Righteous</t>
  </si>
  <si>
    <t>Rusty</t>
  </si>
  <si>
    <t>Sandals</t>
  </si>
  <si>
    <t>Pyremius</t>
  </si>
  <si>
    <t>the Shadow-Serpent</t>
  </si>
  <si>
    <t>St. Pratchytt</t>
  </si>
  <si>
    <t>70.</t>
  </si>
  <si>
    <t>Sacred</t>
  </si>
  <si>
    <t>Sarcophagus</t>
  </si>
  <si>
    <t>Rao</t>
  </si>
  <si>
    <t>the Shield-Maiden</t>
  </si>
  <si>
    <t>St. Rawynn</t>
  </si>
  <si>
    <t>71.</t>
  </si>
  <si>
    <t>Sanctified</t>
  </si>
  <si>
    <t>Scaly</t>
  </si>
  <si>
    <t>Scab</t>
  </si>
  <si>
    <t>Saint Cuthbert</t>
  </si>
  <si>
    <t>the Ship-Taker</t>
  </si>
  <si>
    <t>St. Regus</t>
  </si>
  <si>
    <t>72.</t>
  </si>
  <si>
    <t>Sapphire</t>
  </si>
  <si>
    <t>Secret</t>
  </si>
  <si>
    <t>Scales</t>
  </si>
  <si>
    <t>Savras</t>
  </si>
  <si>
    <t>the Sky Father</t>
  </si>
  <si>
    <t>St. Ricarddos</t>
  </si>
  <si>
    <t>73.</t>
  </si>
  <si>
    <t>Serrated</t>
  </si>
  <si>
    <t>Scepter</t>
  </si>
  <si>
    <t>Sehanine Moonbow</t>
  </si>
  <si>
    <t>the Soothsayer</t>
  </si>
  <si>
    <t>St. Roberts</t>
  </si>
  <si>
    <t>74.</t>
  </si>
  <si>
    <t>Shielding</t>
  </si>
  <si>
    <t>Shadow</t>
  </si>
  <si>
    <t>Scroll</t>
  </si>
  <si>
    <t>Selune</t>
  </si>
  <si>
    <t>the Soul-Collector</t>
  </si>
  <si>
    <t>St. Robinus</t>
  </si>
  <si>
    <t>75.</t>
  </si>
  <si>
    <t>Shining</t>
  </si>
  <si>
    <t>Silver</t>
  </si>
  <si>
    <t>Shield</t>
  </si>
  <si>
    <t>Shar</t>
  </si>
  <si>
    <t>the Soul-Eater</t>
  </si>
  <si>
    <t>St. Rowhan</t>
  </si>
  <si>
    <t>76.</t>
  </si>
  <si>
    <t>Silk</t>
  </si>
  <si>
    <t>Sinking</t>
  </si>
  <si>
    <t>Shoes</t>
  </si>
  <si>
    <t>Silvanas</t>
  </si>
  <si>
    <t>the Spider</t>
  </si>
  <si>
    <t>St. Rowlynna</t>
  </si>
  <si>
    <t>77.</t>
  </si>
  <si>
    <t>Slithering</t>
  </si>
  <si>
    <t>Shortsword</t>
  </si>
  <si>
    <t>Sune</t>
  </si>
  <si>
    <t>the Spring Maiden</t>
  </si>
  <si>
    <t>St. Sansima</t>
  </si>
  <si>
    <t>78.</t>
  </si>
  <si>
    <t>Singing</t>
  </si>
  <si>
    <t>Sly</t>
  </si>
  <si>
    <t>Shroud</t>
  </si>
  <si>
    <t>Talona</t>
  </si>
  <si>
    <t>the Starfinder</t>
  </si>
  <si>
    <t>St. Sessimus</t>
  </si>
  <si>
    <t>79.</t>
  </si>
  <si>
    <t>Skyborn</t>
  </si>
  <si>
    <t>Smoky</t>
  </si>
  <si>
    <t>Shrubbery</t>
  </si>
  <si>
    <t>Talos</t>
  </si>
  <si>
    <t>the Stone Dragon</t>
  </si>
  <si>
    <t>St. Severus</t>
  </si>
  <si>
    <t>80.</t>
  </si>
  <si>
    <t>Soaring</t>
  </si>
  <si>
    <t>Spectral</t>
  </si>
  <si>
    <t>Signet</t>
  </si>
  <si>
    <t>Tempus</t>
  </si>
  <si>
    <t>the Storm Dragon</t>
  </si>
  <si>
    <t>St. Stynebick</t>
  </si>
  <si>
    <t>81.</t>
  </si>
  <si>
    <t>Steel</t>
  </si>
  <si>
    <t>Spiked</t>
  </si>
  <si>
    <t>Skull</t>
  </si>
  <si>
    <t>Tharizdun</t>
  </si>
  <si>
    <t>the Storm King</t>
  </si>
  <si>
    <t>St. Symeon</t>
  </si>
  <si>
    <t>82.</t>
  </si>
  <si>
    <t>Stone</t>
  </si>
  <si>
    <t>Starborn</t>
  </si>
  <si>
    <t>Snout</t>
  </si>
  <si>
    <t>the Raven Queen</t>
  </si>
  <si>
    <t>the Storm-Bringer</t>
  </si>
  <si>
    <t>St. Theseon</t>
  </si>
  <si>
    <t>83.</t>
  </si>
  <si>
    <t>Storied</t>
  </si>
  <si>
    <t>Spear</t>
  </si>
  <si>
    <t>Tiamat</t>
  </si>
  <si>
    <t>the Summer Mistress</t>
  </si>
  <si>
    <t>St. Thoryn</t>
  </si>
  <si>
    <t>84.</t>
  </si>
  <si>
    <t>Sunstone</t>
  </si>
  <si>
    <t>Thorny</t>
  </si>
  <si>
    <t>Splinter</t>
  </si>
  <si>
    <t>Torm</t>
  </si>
  <si>
    <t>the Sunkeeper</t>
  </si>
  <si>
    <t>St. Tolkkyn</t>
  </si>
  <si>
    <t>85.</t>
  </si>
  <si>
    <t>Thundering</t>
  </si>
  <si>
    <t>Spoon</t>
  </si>
  <si>
    <t>Torog</t>
  </si>
  <si>
    <t>the Sword-Prince</t>
  </si>
  <si>
    <t>St. Twayn</t>
  </si>
  <si>
    <t>86.</t>
  </si>
  <si>
    <t>Titanic</t>
  </si>
  <si>
    <t>Toothy</t>
  </si>
  <si>
    <t>Staff</t>
  </si>
  <si>
    <t>Tymora</t>
  </si>
  <si>
    <t>the Thief</t>
  </si>
  <si>
    <t>St. Xavos</t>
  </si>
  <si>
    <t>87.</t>
  </si>
  <si>
    <t>Unstoppable</t>
  </si>
  <si>
    <t>Tormenting</t>
  </si>
  <si>
    <t>Sword</t>
  </si>
  <si>
    <t>Typhos</t>
  </si>
  <si>
    <t>the Tormenter</t>
  </si>
  <si>
    <t>the Deliverer</t>
  </si>
  <si>
    <t>88.</t>
  </si>
  <si>
    <t>Untouchable</t>
  </si>
  <si>
    <t>Tricky</t>
  </si>
  <si>
    <t>Talisman</t>
  </si>
  <si>
    <t>Tyr</t>
  </si>
  <si>
    <t>the Tree Spirit</t>
  </si>
  <si>
    <t>the Doomcaller</t>
  </si>
  <si>
    <t>89.</t>
  </si>
  <si>
    <t>Unyielding</t>
  </si>
  <si>
    <t>Tyrranical</t>
  </si>
  <si>
    <t>Toe</t>
  </si>
  <si>
    <t>Umberlee</t>
  </si>
  <si>
    <t>the Undying Light</t>
  </si>
  <si>
    <t>the Doomsayer</t>
  </si>
  <si>
    <t>90.</t>
  </si>
  <si>
    <t>Virtuous</t>
  </si>
  <si>
    <t>Undying</t>
  </si>
  <si>
    <t>Tome</t>
  </si>
  <si>
    <t>the Unnamed One</t>
  </si>
  <si>
    <t>91.</t>
  </si>
  <si>
    <t>Vorpal</t>
  </si>
  <si>
    <t>Unholy</t>
  </si>
  <si>
    <t>Tongue</t>
  </si>
  <si>
    <t>Urbanus</t>
  </si>
  <si>
    <t>the Unyielding Tyrant</t>
  </si>
  <si>
    <t>92.</t>
  </si>
  <si>
    <t>Warding</t>
  </si>
  <si>
    <t>Unlucky</t>
  </si>
  <si>
    <t>Tooth</t>
  </si>
  <si>
    <t>Vaprak</t>
  </si>
  <si>
    <t>the Voice</t>
  </si>
  <si>
    <t>93.</t>
  </si>
  <si>
    <t>Watchful</t>
  </si>
  <si>
    <t>Vain</t>
  </si>
  <si>
    <t>Torch</t>
  </si>
  <si>
    <t>Vecna</t>
  </si>
  <si>
    <t>the Wandering Rogue</t>
  </si>
  <si>
    <t>94.</t>
  </si>
  <si>
    <t>Whistling</t>
  </si>
  <si>
    <t>Vile</t>
  </si>
  <si>
    <t>Tresses</t>
  </si>
  <si>
    <t>Waukeen</t>
  </si>
  <si>
    <t>the War-Maker</t>
  </si>
  <si>
    <t>the Seeker</t>
  </si>
  <si>
    <t>95.</t>
  </si>
  <si>
    <t>White</t>
  </si>
  <si>
    <t>Tunic</t>
  </si>
  <si>
    <t>Wee Jas</t>
  </si>
  <si>
    <t>the Watcher</t>
  </si>
  <si>
    <t>the Shadowspeaker</t>
  </si>
  <si>
    <t>96.</t>
  </si>
  <si>
    <t>Wind</t>
  </si>
  <si>
    <t>Whispering</t>
  </si>
  <si>
    <t>Vial</t>
  </si>
  <si>
    <t>Yeenoghu</t>
  </si>
  <si>
    <t>the Watchful Eye</t>
  </si>
  <si>
    <t>97.</t>
  </si>
  <si>
    <t>Winged</t>
  </si>
  <si>
    <t>Wicked</t>
  </si>
  <si>
    <t>Wand</t>
  </si>
  <si>
    <t>Yondalla</t>
  </si>
  <si>
    <t>the Wind King</t>
  </si>
  <si>
    <t>the Starwatcher</t>
  </si>
  <si>
    <t>98.</t>
  </si>
  <si>
    <t>Wise</t>
  </si>
  <si>
    <t>Wart</t>
  </si>
  <si>
    <t>Zagyg</t>
  </si>
  <si>
    <t>the Winemaker</t>
  </si>
  <si>
    <t>the Truthsayer</t>
  </si>
  <si>
    <t>99.</t>
  </si>
  <si>
    <t>Wooden</t>
  </si>
  <si>
    <t>Wounding</t>
  </si>
  <si>
    <t>Whip</t>
  </si>
  <si>
    <t>Zehir</t>
  </si>
  <si>
    <t>the Winter Lady</t>
  </si>
  <si>
    <t>100.</t>
  </si>
  <si>
    <t>Yellow</t>
  </si>
  <si>
    <t>Wings</t>
  </si>
  <si>
    <t>Zoser</t>
  </si>
  <si>
    <t>the Wolf</t>
  </si>
  <si>
    <t>Zefar the Sorcerer</t>
  </si>
  <si>
    <t>Random Holy Trial: Got to have faith...</t>
  </si>
  <si>
    <t>d6 This is a...</t>
  </si>
  <si>
    <t>1. Test of Devotion.</t>
  </si>
  <si>
    <t>2. Test of Faith.</t>
  </si>
  <si>
    <t>3. Test of Knowledge.</t>
  </si>
  <si>
    <t>4. Test of Mettle.</t>
  </si>
  <si>
    <t>5. Test of Purity.</t>
  </si>
  <si>
    <t>6. Trial by Combat.</t>
  </si>
  <si>
    <t>d6 Clue: To pass the test, bring your faith and show...</t>
  </si>
  <si>
    <t>1. Charity.</t>
  </si>
  <si>
    <t>2. Chastity.</t>
  </si>
  <si>
    <t>3. Humility.</t>
  </si>
  <si>
    <t>4. Kindness.</t>
  </si>
  <si>
    <t>5. Patience.</t>
  </si>
  <si>
    <t>6. Temperance.</t>
  </si>
  <si>
    <t>d6 Test of Devotion: You must...</t>
  </si>
  <si>
    <t>1. Destroy your most prized or valuable possession.</t>
  </si>
  <si>
    <t>2. Pay a price in your own blood or flesh.</t>
  </si>
  <si>
    <t>3. Pay a price in treasure.</t>
  </si>
  <si>
    <t>4. Ritualistic scar or brand yourself.</t>
  </si>
  <si>
    <t>5. Sacrifice a loved one or dear friend.</t>
  </si>
  <si>
    <t>6. Sacrifice your voice or your eyesight.</t>
  </si>
  <si>
    <t>d6 Test of Faith: You must...</t>
  </si>
  <si>
    <t>1. Challenge an impossible foe.</t>
  </si>
  <si>
    <t>2. Cross a wide chasm.</t>
  </si>
  <si>
    <t>3. Fast to the point of starvation.</t>
  </si>
  <si>
    <t>4. Navigate an impossible labyrinth.</t>
  </si>
  <si>
    <t>5. Venture into an unknown darkness.</t>
  </si>
  <si>
    <t>6. Walk a dangerous path.</t>
  </si>
  <si>
    <t>d6 Test of Knowledge: You must...</t>
  </si>
  <si>
    <t>1. Assemble a shattered relic.</t>
  </si>
  <si>
    <t>2. Choose the true relic.</t>
  </si>
  <si>
    <t>3. Destroy an unholy relic.</t>
  </si>
  <si>
    <t>4. Perform an ancient ritual.</t>
  </si>
  <si>
    <t>5. Solve a holy guardian's riddle.</t>
  </si>
  <si>
    <t>6. Speak the true name of a god or saint.</t>
  </si>
  <si>
    <t>d6 Test of Mettle: You must...</t>
  </si>
  <si>
    <t>1. Drink poison.</t>
  </si>
  <si>
    <t>2. Climb an immense mountain.</t>
  </si>
  <si>
    <t>3. Cross a vast desert.</t>
  </si>
  <si>
    <t>4. Look into the eyes of a god.</t>
  </si>
  <si>
    <t>5. Look into the eyes of a fiend.</t>
  </si>
  <si>
    <t>6. Sleep on a bed of nails or a bed of hot coals.</t>
  </si>
  <si>
    <t>d6 Test of Purity: You must...</t>
  </si>
  <si>
    <t>1. Aid those suffering from a terrible plague.</t>
  </si>
  <si>
    <t>2. Observe strict dietary restrictions.</t>
  </si>
  <si>
    <t>3. Prove your honesty to a holy guardian.</t>
  </si>
  <si>
    <t>4. Renounce your worldly possessions.</t>
  </si>
  <si>
    <t>5. Resist temptation and practice abstinence.</t>
  </si>
  <si>
    <t>6. Resist temptation and practice sobriety.</t>
  </si>
  <si>
    <t>d6 Trial by Combat: You must...</t>
  </si>
  <si>
    <t>1. Defeat an enemy fiend.</t>
  </si>
  <si>
    <t>2. Defeat the champion of a rival god.</t>
  </si>
  <si>
    <t>3. Defeat your god's chosen champion.</t>
  </si>
  <si>
    <t>4. Slay a horde of unholy foes.</t>
  </si>
  <si>
    <t>5. Slay the holy guardian of a sacred relic.</t>
  </si>
  <si>
    <t>6. Slay the holy guardian of an ancient temple.</t>
  </si>
  <si>
    <t>d6 Holy guardian: The guardian is a/an...</t>
  </si>
  <si>
    <t>1. Angelic warrior.</t>
  </si>
  <si>
    <t>2. Celestial beast (d6): 1. bear, 2. eagle, 3. hound, 4. lion, 5. serpent, 6. unicorn.</t>
  </si>
  <si>
    <t>3. Exarch or demigod.</t>
  </si>
  <si>
    <t>4. Golem (d6): 1. clay, 2. bronze, 3. iron, 4. marble, 5. steel, 6. stone.</t>
  </si>
  <si>
    <t>5. Immortalized saint.</t>
  </si>
  <si>
    <t>6. Sphinx.</t>
  </si>
  <si>
    <t>d6 Holy champion: The champion is a/an...</t>
  </si>
  <si>
    <t>1. Ancient elvish hero.</t>
  </si>
  <si>
    <t>2. Angel of vengeance.</t>
  </si>
  <si>
    <t>3. Ascendant priest or priestess.</t>
  </si>
  <si>
    <t>4. Celestial dragon or titan.</t>
  </si>
  <si>
    <t>5. Immortal knight or warrior.</t>
  </si>
  <si>
    <t>6. Son or daughter of a god.</t>
  </si>
  <si>
    <t>d6 Unholy foe: The foe is a/an...</t>
  </si>
  <si>
    <t>1. Aberrant creature with... (d6): 1. many eyes, 2. many hands, 3. many mouths, 4. one gigantic eye, 5. one gigantic toothy mouth, 6. vaguely humanoid.</t>
  </si>
  <si>
    <t>2. Dark mage of mortal origins (d6): 1. alchemist, 2. elementalist, 3. pyromancer, 4. necromancer, 5. sorcerer, 6. witch.</t>
  </si>
  <si>
    <t>3. Demon of... (d6): 1. filth, 2. fire, 3. rage, 4. rot, 5. madness, 6. shadow.</t>
  </si>
  <si>
    <t>4. Devil of... (d6): 1. fire, 2. ice, 3. torment, 4. trickery, 5. tyranny, 6. war.</t>
  </si>
  <si>
    <t>5. Fiendish beast (d6): 1. bat, 2. drake, 3. rat, 4. serpent, 5. spider, 6. wolf.</t>
  </si>
  <si>
    <t>6. Undead creature (d6): 1. ghost, 2. lich, 3. revenant, 4. vampire, 5. wight, 6. wraith.</t>
  </si>
  <si>
    <r>
      <t>Random Cults: Bow Down to the Lord of</t>
    </r>
    <r>
      <rPr>
        <sz val="11"/>
        <color rgb="FF1A1A1B"/>
        <rFont val="Arial"/>
        <family val="2"/>
        <charset val="204"/>
      </rPr>
      <t> </t>
    </r>
    <r>
      <rPr>
        <b/>
        <i/>
        <sz val="11"/>
        <color rgb="FF1A1A1B"/>
        <rFont val="Inherit"/>
      </rPr>
      <t>What?</t>
    </r>
    <r>
      <rPr>
        <sz val="11"/>
        <color rgb="FF1A1A1B"/>
        <rFont val="Arial"/>
        <family val="2"/>
        <charset val="204"/>
      </rPr>
      <t> </t>
    </r>
    <r>
      <rPr>
        <b/>
        <sz val="11"/>
        <color rgb="FF1A1A1B"/>
        <rFont val="Inherit"/>
      </rPr>
      <t>...</t>
    </r>
  </si>
  <si>
    <t>Use these tables for inspiration or roll them randomly. Some of the tables could be rolled more than once.</t>
  </si>
  <si>
    <t>d12 The cultists revere...</t>
  </si>
  <si>
    <t>1. A dragon.</t>
  </si>
  <si>
    <t>2. A demon lord.</t>
  </si>
  <si>
    <t>3. An archdevil.</t>
  </si>
  <si>
    <t>4. A long-dead ancient hero.</t>
  </si>
  <si>
    <t>5. A long-dead ancient villain.</t>
  </si>
  <si>
    <t>6. A dead god.</t>
  </si>
  <si>
    <t>7. An aberrant creature.</t>
  </si>
  <si>
    <t>8. An elemental creature.</t>
  </si>
  <si>
    <t>9. A primordial.</t>
  </si>
  <si>
    <t>10. Primal spirits.</t>
  </si>
  <si>
    <t>11. An exarch of a god.</t>
  </si>
  <si>
    <t>12. The cult’s own leader.</t>
  </si>
  <si>
    <t>d10 The cultists meet in...</t>
  </si>
  <si>
    <t>1. A secret chamber in a well-known temple.</t>
  </si>
  <si>
    <t>2. The cellar of a popular tavern.</t>
  </si>
  <si>
    <t>3. A secret chamber in a well-known guildhall.</t>
  </si>
  <si>
    <t>4. The cellar of a wealthy merchant's house.</t>
  </si>
  <si>
    <t>5. The city sewers.</t>
  </si>
  <si>
    <t>6. Ancient catacombs beneath the city.</t>
  </si>
  <si>
    <t>7. A cabin in the countryside.</t>
  </si>
  <si>
    <t>8. A creepy, dark cave.</t>
  </si>
  <si>
    <t>9. A heavily guarded chamber within a castle.</t>
  </si>
  <si>
    <t>10. The stacks of a well-stocked library.</t>
  </si>
  <si>
    <t>d20 The cult’s leader is...</t>
  </si>
  <si>
    <t>2. A dogmatic teacher.</t>
  </si>
  <si>
    <t>3. An adept healer.</t>
  </si>
  <si>
    <t>4. A charismatic preacher.</t>
  </si>
  <si>
    <t>5. An eccentric scholar.</t>
  </si>
  <si>
    <t>6. An outspoken zealot.</t>
  </si>
  <si>
    <t>7. A dangerous megalomaniac.</t>
  </si>
  <si>
    <t>8. A charismatic demagogue.</t>
  </si>
  <si>
    <t>9. A mysterious foreigner.</t>
  </si>
  <si>
    <t>10. A well-known public figure.</t>
  </si>
  <si>
    <t>11. A ruthless killer.</t>
  </si>
  <si>
    <t>12. A femme fatale.</t>
  </si>
  <si>
    <t>13. A charming rogue.</t>
  </si>
  <si>
    <t>14. A powerful noble.</t>
  </si>
  <si>
    <t>15. A talented artist.</t>
  </si>
  <si>
    <t>16. A religious fanatic.</t>
  </si>
  <si>
    <t>17. A veteran soldier.</t>
  </si>
  <si>
    <t>18. A humble artisan.</t>
  </si>
  <si>
    <t>19. An ancient hero reborn.</t>
  </si>
  <si>
    <t>20. The second coming of a god.</t>
  </si>
  <si>
    <t>d6 The cult's membership is primarily made up of...</t>
  </si>
  <si>
    <t>1. The poor and downtrodden (d4): 1. beggars; 2. laborers; 3. servants; 4. slaves.</t>
  </si>
  <si>
    <t>2. The wealthy elite (d4): 1. guildmasters; 2. merchants; 3. nobles; 4. royalty.</t>
  </si>
  <si>
    <t>3. A segment of another religion's population (d8): 1. sun god; 2. earth mother; 3. death god; 4. huntress; 5. goddess of love; 6. storm god; 7. trickster god; 8. war god.</t>
  </si>
  <si>
    <t>4. Members of a particular trade (d8): 1. blacksmiths; 2. carpenters; 3. farmers; 4. fishermen; 5. miners; 6. soldiers 7. stonemasons; 8. weavers.</t>
  </si>
  <si>
    <t>5. Members of a particular race (d8): 1. dwarves; 2. elves; 3. gnomes;; 4. goblins; 5. half-breeds; 5. halflings; 6. humans; 7. orcs; 8. reptilians.</t>
  </si>
  <si>
    <t>6. Members of all social strata.</t>
  </si>
  <si>
    <t>d8 The cult's practices involve (leadership and believers could adhere to different practices)...</t>
  </si>
  <si>
    <t>1. Animal sacrifice (d10): 1. bulls; 2. calves; 3. cats; 4. chickens; 5. dogs; 6. goats; 7. pigeons; 8. rabbits; 9. rams; 10. songbirds.</t>
  </si>
  <si>
    <t>2. Human sacrifice (d6): 1. children; 2. elderly; 3. harlots; 4. nonbelievers; 5. priests and priestesses; 6. virgins.</t>
  </si>
  <si>
    <t>3. Self-mutilation (d10): 1. arm; 2. back; 3. cheek; 4. chest; 5. ear; 6. eye.; 7. feet; 8. finger; 9. genitalia; 10. nose.</t>
  </si>
  <si>
    <t>4. Burnt offerings (d6): 1. corpses; 2. rare herbs; 3. sacred incense; 4. high-quality meat; 5. nonbeliever; 6. prisoners.</t>
  </si>
  <si>
    <t>5. Offerings of gold, gems, and valuables.</t>
  </si>
  <si>
    <t>6. Strange incantations.</t>
  </si>
  <si>
    <t>7. Public acts of violence (d4): 1. beatings; 2. looting; 3. murders; 4. riots.</t>
  </si>
  <si>
    <t>8. Ritualistic sexual acts (d4): 1. bestiality; 2. breedings; 3. deflowerings; 4. orgies.</t>
  </si>
  <si>
    <t>d8 The cult's goals (leadership and believers could have different goals)...</t>
  </si>
  <si>
    <t>1. Domination of the city or region.</t>
  </si>
  <si>
    <t>2. Destruction of the city or region.</t>
  </si>
  <si>
    <t>3. Reincarnation of a long-dead entity.</t>
  </si>
  <si>
    <t>4. Declaration of war against a rival city or nation.</t>
  </si>
  <si>
    <t>5. Rebellion against the city or nation's elite.</t>
  </si>
  <si>
    <t>6. Death to non-believers.</t>
  </si>
  <si>
    <t>7. Opening a portal to another plane.</t>
  </si>
  <si>
    <t>8. Release of a powerful captive entity.</t>
  </si>
  <si>
    <t>d12 The cult’s members must follow a strict rule regarding...</t>
  </si>
  <si>
    <t>1. Wearing a flower in the hair or on the lapel (d4): 1. lily; 2. orchid; 3. rose; 4. tulip.</t>
  </si>
  <si>
    <t>2. Fashion trends.</t>
  </si>
  <si>
    <t>3. Maintaining their personal weapon (d4): 1. club; 2. dagger; 3. handaxe; 4. staff.</t>
  </si>
  <si>
    <t>4. Treatment of pets.</t>
  </si>
  <si>
    <t>5. Mounting a horse.</t>
  </si>
  <si>
    <t>6. Dressing one’s self for worship.</t>
  </si>
  <si>
    <t>7. Dressing one’s self for day-to-day activities.</t>
  </si>
  <si>
    <t>8. Diet.</t>
  </si>
  <si>
    <t>9. Exercise routines.</t>
  </si>
  <si>
    <t>10. Bathing.</t>
  </si>
  <si>
    <t>11. Styling one’s hair.</t>
  </si>
  <si>
    <t>12. Brushing one’s teeth.</t>
  </si>
  <si>
    <t>d12 The cult’s members are particularly afraid of or takes special care to avoid...</t>
  </si>
  <si>
    <t>1. Hallowed places.</t>
  </si>
  <si>
    <t>2. Moonlight.</t>
  </si>
  <si>
    <t>3. Sunlight.</t>
  </si>
  <si>
    <t>4. Crossing running water.</t>
  </si>
  <si>
    <t>5. Sharp wooden objects.</t>
  </si>
  <si>
    <t>6. Garlic.</t>
  </si>
  <si>
    <t>7. Silver objects.</t>
  </si>
  <si>
    <t>8. Relics of the gods.</t>
  </si>
  <si>
    <t>9. Sleeping outdoors.</t>
  </si>
  <si>
    <t>10. Milk and cheese.</t>
  </si>
  <si>
    <t>11. Eating meat.</t>
  </si>
  <si>
    <t>12. Sobriety.</t>
  </si>
  <si>
    <t>Random Religious Relic</t>
  </si>
  <si>
    <t>Random Harlots</t>
  </si>
  <si>
    <t>d10 The harlot is...</t>
  </si>
  <si>
    <t>1. A veteran who may have been beautiful.</t>
  </si>
  <si>
    <t>4. A friendly and plump woman.</t>
  </si>
  <si>
    <t>5. The bastard daughter of a noble house.</t>
  </si>
  <si>
    <t>6. A young foreigner.</t>
  </si>
  <si>
    <t>7. The boss’s favorite.</t>
  </si>
  <si>
    <t>8. An exotic beauty.</t>
  </si>
  <si>
    <t>9. New to the place and always in trouble.</t>
  </si>
  <si>
    <t>10. New to the place and eager to please.</t>
  </si>
  <si>
    <t>d6 Everyone is beautiful; the harlot has...</t>
  </si>
  <si>
    <t>1. A pretty smile.</t>
  </si>
  <si>
    <t>2. Beautiful eyes.</t>
  </si>
  <si>
    <t>3. Lovely, long eyelashes.</t>
  </si>
  <si>
    <t>4. Lush, curly locks.</t>
  </si>
  <si>
    <t>5. Short-cropped hair.</t>
  </si>
  <si>
    <t>6. A clean satin gown.</t>
  </si>
  <si>
    <t>d8 No one is flawless; the harlot has...</t>
  </si>
  <si>
    <t>1. A gimpy leg.</t>
  </si>
  <si>
    <t>2. Crooked teeth.</t>
  </si>
  <si>
    <t>3. A scowl on her face.</t>
  </si>
  <si>
    <t>4. An unsightly scar.</t>
  </si>
  <si>
    <t>5. An unfortunately shaped nose.</t>
  </si>
  <si>
    <t>6. A large mole on her face.</t>
  </si>
  <si>
    <t>7. Crossed-eyes.</t>
  </si>
  <si>
    <t>8. A mustache.</t>
  </si>
  <si>
    <t>d4 The harlot's flaw is...</t>
  </si>
  <si>
    <t>1. Barely noticeable.</t>
  </si>
  <si>
    <t>2. Well-concealed by make-up or practice.</t>
  </si>
  <si>
    <t>3. Something you can look past.</t>
  </si>
  <si>
    <t>4. Intimidating.</t>
  </si>
  <si>
    <t>d6 The harlot is particularly skilled at...</t>
  </si>
  <si>
    <t>1. Listening and offering emotional support.</t>
  </si>
  <si>
    <t>2. Bringing a smile to her clients’ faces without even touching them.</t>
  </si>
  <si>
    <t>3. Bringing a smile to her clients’ faces as soon as she touches them.</t>
  </si>
  <si>
    <t>4. Embroidery and sewing.</t>
  </si>
  <si>
    <t>5. Cooking and cleaning.</t>
  </si>
  <si>
    <t>6. Drinking and swearing.</t>
  </si>
  <si>
    <t>d6 The harlot is looking to...</t>
  </si>
  <si>
    <t>1. Earn enough coin to get out of this place.</t>
  </si>
  <si>
    <t>2. Bring to light a scandal involving a rival.</t>
  </si>
  <si>
    <t>3. Secure a marriage to get out of this place.</t>
  </si>
  <si>
    <t>4. Hear word of a child given away.</t>
  </si>
  <si>
    <t>5. Hatch a plan for revenge against the man who ruined her life.</t>
  </si>
  <si>
    <t>6. Drink some wine and have a laugh.</t>
  </si>
  <si>
    <t>Random Secret Society</t>
  </si>
  <si>
    <t>Use these for inspiration or roll them up randomly. Some tables could be rolled more than once.</t>
  </si>
  <si>
    <t>d6 The society's main goal is to...</t>
  </si>
  <si>
    <t>1. Foil the plans of another secret society.</t>
  </si>
  <si>
    <t>2. Bring about the destruction of the city, region, or world.</t>
  </si>
  <si>
    <t>3. Foment rebellion against the ruling class.</t>
  </si>
  <si>
    <t>4. Hunt down and eliminate members of a specific race or class.</t>
  </si>
  <si>
    <t>5. Protect the common people from tyranny.</t>
  </si>
  <si>
    <t>6. Protect the city, region, or world from outside malign influences.</t>
  </si>
  <si>
    <t>d12 The society is led by...</t>
  </si>
  <si>
    <t>1. A council who gain their seats by virtue of heredity.</t>
  </si>
  <si>
    <t>2. A council who gain their seats by virtue of experience.</t>
  </si>
  <si>
    <t>3. A council who gain their seats by elections.</t>
  </si>
  <si>
    <t>4. A dangerous megalomaniac.</t>
  </si>
  <si>
    <t>6. An altruistic knight.</t>
  </si>
  <si>
    <t>7. A dashing rogue.</t>
  </si>
  <si>
    <t>8. A religious zealot.</t>
  </si>
  <si>
    <t>9. A wise old priest or mage.</t>
  </si>
  <si>
    <t>10. A celebrated war hero.</t>
  </si>
  <si>
    <t>11. A wealthy merchant or noble.</t>
  </si>
  <si>
    <t>12. A fugitive from justice.</t>
  </si>
  <si>
    <t>d8 Members of the society recognize each other by...</t>
  </si>
  <si>
    <t>1. A secret handshake.</t>
  </si>
  <si>
    <t>2. A secret gesture.</t>
  </si>
  <si>
    <t>3. A secret password.</t>
  </si>
  <si>
    <t>4. A set of coded phrases and responses.</t>
  </si>
  <si>
    <t>5. A subtle pin or piece of jewelry.</t>
  </si>
  <si>
    <t>6. A subtle fashion or style of dress.</t>
  </si>
  <si>
    <t>7. A cue specified by another member of the society.</t>
  </si>
  <si>
    <t>8. The way society members style their facial hair.</t>
  </si>
  <si>
    <t>d20 The society's colors are...</t>
  </si>
  <si>
    <t>d10 The society's symbol is...</t>
  </si>
  <si>
    <t>9. An elemental rune or image (d8): 1. cloud; 2. flame; 3. ice; 4. lightning bolt; 5. snow; 6. stone; 7. wave of water; 8. whirlwind.</t>
  </si>
  <si>
    <t>10. An icon of death (d4): 1. a pair of crossed bones; 2. a ghost; 3. a skull; 4. a spectral hand.</t>
  </si>
  <si>
    <t>d20 The society's motto champions the ideals of...</t>
  </si>
  <si>
    <t>3. Discipline.</t>
  </si>
  <si>
    <t>4. Domination.</t>
  </si>
  <si>
    <t>5. Duty.</t>
  </si>
  <si>
    <t>6. Excellence.</t>
  </si>
  <si>
    <t>7. Faith.</t>
  </si>
  <si>
    <t>8. Honor.</t>
  </si>
  <si>
    <t>9. Hope.</t>
  </si>
  <si>
    <t>10. Integrity.</t>
  </si>
  <si>
    <t>11. Knowledge</t>
  </si>
  <si>
    <t>12. Justice.</t>
  </si>
  <si>
    <t>13. Loyalty.</t>
  </si>
  <si>
    <t>14. Mercy.</t>
  </si>
  <si>
    <t>15. Patience.</t>
  </si>
  <si>
    <t>16. Power.</t>
  </si>
  <si>
    <t>19. Victory.</t>
  </si>
  <si>
    <t>d6 Members of the society typically operate...</t>
  </si>
  <si>
    <t>1. Alone and in secret.</t>
  </si>
  <si>
    <t>2. In pairs, working in secret.</t>
  </si>
  <si>
    <t>3. In small groups, working in secret.</t>
  </si>
  <si>
    <t>4. Alone, but openly.</t>
  </si>
  <si>
    <t>5. In pairs, but openly.</t>
  </si>
  <si>
    <t>6. In small groups, but openly.</t>
  </si>
  <si>
    <t>d6 Members of the society typically know...</t>
  </si>
  <si>
    <t>1. Very few other members of the society.</t>
  </si>
  <si>
    <t>2. Several other members of the society.</t>
  </si>
  <si>
    <t>3. The details of the society's organization.</t>
  </si>
  <si>
    <t>4. Nothing about the society's leadership.</t>
  </si>
  <si>
    <t>5. The names of the society's leaders, though they’ve never any of them.</t>
  </si>
  <si>
    <t>6. One of the society's leading members and no other members.</t>
  </si>
  <si>
    <t>d12 Members of the society occasionally gather to meet in...</t>
  </si>
  <si>
    <t>3. A secret chamber in a well-known guild-hall.</t>
  </si>
  <si>
    <t>6. The ancient catacombs beneath the city.</t>
  </si>
  <si>
    <t>7. The residence of the leader or a senior member.</t>
  </si>
  <si>
    <t>8. A wealthy merchant's office.</t>
  </si>
  <si>
    <t>9. A private dining room in a dingy tavern.</t>
  </si>
  <si>
    <t>10. A brothel.</t>
  </si>
  <si>
    <t>11. A warehouse or shipyard.</t>
  </si>
  <si>
    <t>12. The city's sewers.</t>
  </si>
  <si>
    <t>d8 The society's membership is primarily made up of...</t>
  </si>
  <si>
    <t>1. The poor and downtrodden (slaves, beggars, urchins, laborers, servants, etc.).</t>
  </si>
  <si>
    <t>2. The wealthy elite (merchants, nobles, etc.).</t>
  </si>
  <si>
    <t>3. Members of a particular religion (a temple, a cult, a sect, etc.).</t>
  </si>
  <si>
    <t>4. Members of a particular trade (blacksmiths, carpenters, fishermen, weavers, etc.).</t>
  </si>
  <si>
    <t>5. Members of a particular class (bards, fighters, mages, priests, rangers, thieves, etc.)</t>
  </si>
  <si>
    <t>6. Members of a particular race (dwarves, elves, gnomes, halflings, etc.).</t>
  </si>
  <si>
    <t>7. Members of specific ancient lineages (noble houses, descendants of heroes, etc.)</t>
  </si>
  <si>
    <t>8. An eclectic mix of society.</t>
  </si>
  <si>
    <t>Random Pirate Crews</t>
  </si>
  <si>
    <t>d10 The pirates' ship is...</t>
  </si>
  <si>
    <t>1. Little more than a raft.</t>
  </si>
  <si>
    <t>2. A galley.</t>
  </si>
  <si>
    <t>3. A longship.</t>
  </si>
  <si>
    <t>4. A catamaran.</t>
  </si>
  <si>
    <t>5. A cog.</t>
  </si>
  <si>
    <t>6. A hulk.</t>
  </si>
  <si>
    <t>7. A carrack.</t>
  </si>
  <si>
    <t>8. A caravel.</t>
  </si>
  <si>
    <t>9. A schooner.</t>
  </si>
  <si>
    <t>10. A dreadnought.</t>
  </si>
  <si>
    <t>d8 Presently, the pirates’ ship is...</t>
  </si>
  <si>
    <t>1. Laden with treasure.</t>
  </si>
  <si>
    <t>2. Full of stolen goods.</t>
  </si>
  <si>
    <t>3. Well-stocked with provisions.</t>
  </si>
  <si>
    <t>4. In tip-top shape.</t>
  </si>
  <si>
    <t>5. “On loan” to some other pirates.</t>
  </si>
  <si>
    <t>6. In need of repair.</t>
  </si>
  <si>
    <t>7. Barely staying afloat.</t>
  </si>
  <si>
    <t>8. Resting beneath the waves.</t>
  </si>
  <si>
    <t>d20 The ship's banner features...</t>
  </si>
  <si>
    <t>2. A pair of crossed bones.</t>
  </si>
  <si>
    <t>3. A skull and cross bones.</t>
  </si>
  <si>
    <t>4. A skeletal hand.</t>
  </si>
  <si>
    <t>5. A skeletal fish.</t>
  </si>
  <si>
    <t>6. A flaming skull.</t>
  </si>
  <si>
    <t>7. A clenched fist.</t>
  </si>
  <si>
    <t>8. A ghost.</t>
  </si>
  <si>
    <t>9. A mermaid.</t>
  </si>
  <si>
    <t>10. A pair of crossed cutlasses.</t>
  </si>
  <si>
    <t>11. A dagger.</t>
  </si>
  <si>
    <t>12. A bloody dagger.</t>
  </si>
  <si>
    <t>13. An albatross.</t>
  </si>
  <si>
    <t>14. A pelican.</t>
  </si>
  <si>
    <t>15. A whale.</t>
  </si>
  <si>
    <t>16. An octopus.</t>
  </si>
  <si>
    <t>17. A swordfish.</t>
  </si>
  <si>
    <t>18. A crab.</t>
  </si>
  <si>
    <t>19. A sea turtle.</t>
  </si>
  <si>
    <t>20. A big tuna.</t>
  </si>
  <si>
    <t>d12 The ship's mascot is...</t>
  </si>
  <si>
    <t>1. A budgie (fond of saying "Ye scalawags!" or "Aye, Captain!").</t>
  </si>
  <si>
    <t>2. A cockatoo (fond of saying "Pieces of eight!" or "It's shark week!").</t>
  </si>
  <si>
    <t>3. A conure (fond of saying "Dead men tell no tales!" or "Ahoy!").</t>
  </si>
  <si>
    <t>4. A macaw (fond of saying "Show me the booty!" or "Land, ho!").</t>
  </si>
  <si>
    <t>5. A capuchin monkey (with or without an eyepatch).</t>
  </si>
  <si>
    <t>6. A macaque (with or without a vest).</t>
  </si>
  <si>
    <t>7. A spider monkey (with or without a bandanna).</t>
  </si>
  <si>
    <t>8. A tamarin (with or without mustaches).</t>
  </si>
  <si>
    <t>9. An old turtle.</t>
  </si>
  <si>
    <t>10. A lazy sea-faring cat.</t>
  </si>
  <si>
    <t>11. A pot-belly pig.</t>
  </si>
  <si>
    <t>12. A high-energy herding dog.</t>
  </si>
  <si>
    <t>d10 The ship's captain is...</t>
  </si>
  <si>
    <t>11. An old sailor.</t>
  </si>
  <si>
    <t>12. A celebrated naval hero.</t>
  </si>
  <si>
    <t>d8 The crew's attitude toward their captain is...</t>
  </si>
  <si>
    <t>1. Adoring and loyal.</t>
  </si>
  <si>
    <t>2. Friendly and pleased.</t>
  </si>
  <si>
    <t>3. Respectful and business-like.</t>
  </si>
  <si>
    <t>4. Mercenary and eager.</t>
  </si>
  <si>
    <t>6. Disappointed and indifferent.</t>
  </si>
  <si>
    <t>7. Restless and rebellious.</t>
  </si>
  <si>
    <t>8. Angry and mutinous.</t>
  </si>
  <si>
    <t>d10 Crewmembers often sport matching...</t>
  </si>
  <si>
    <t>1. Puffy shirts.</t>
  </si>
  <si>
    <t>2. Breeches.</t>
  </si>
  <si>
    <t>d8 The crew's goals include (captain and crewmembers could have different goals)...</t>
  </si>
  <si>
    <t>1. Discovery of a legendary hidden treasure.</t>
  </si>
  <si>
    <t>2. Domination of the region's maritime trade.</t>
  </si>
  <si>
    <t>3. Revenge against a naval hero.</t>
  </si>
  <si>
    <t>4. Revenge against a rival pirate crew.</t>
  </si>
  <si>
    <t>5. Rebellion against the dominant merchant traders.</t>
  </si>
  <si>
    <t>6. A wealthy and peaceful retirement.</t>
  </si>
  <si>
    <t>7. Violence to slake their bloodlust.</t>
  </si>
  <si>
    <t>8. Drinking all the rum.</t>
  </si>
  <si>
    <t>d10 Crewmembers typically arm themselves with...</t>
  </si>
  <si>
    <t>1. Belaying pins (wooden clubs).</t>
  </si>
  <si>
    <t>5. Cutlasses.</t>
  </si>
  <si>
    <t>6. Clubs and daggers.</t>
  </si>
  <si>
    <t>7. Brass knuckles.</t>
  </si>
  <si>
    <t>8. Bare fists.</t>
  </si>
  <si>
    <t>9. Nets and tridents.</t>
  </si>
  <si>
    <t>10. Harpoons.</t>
  </si>
  <si>
    <t>d10 The pirate crew typically fights with...</t>
  </si>
  <si>
    <t>d10 The crew's headquarters is hidden in or near...</t>
  </si>
  <si>
    <t>1. A rugged seaside cliff.</t>
  </si>
  <si>
    <t>2. A hidden lagoon.</t>
  </si>
  <si>
    <t>3. A remote island.</t>
  </si>
  <si>
    <t>4. A swampy river mouth.</t>
  </si>
  <si>
    <t>5. A coastal cave.</t>
  </si>
  <si>
    <t>6. A tavern.</t>
  </si>
  <si>
    <t>7. A brothel.</t>
  </si>
  <si>
    <t>8. A warehouse or shipyard.</t>
  </si>
  <si>
    <t>9. A poor fishing village</t>
  </si>
  <si>
    <t>10. An old lighthouse.</t>
  </si>
  <si>
    <t>d12 The crew is notorious for...</t>
  </si>
  <si>
    <t>2. Feeding captives to sharks.</t>
  </si>
  <si>
    <t>3. Tattooing or branding captives.</t>
  </si>
  <si>
    <t>4. Scalping captives.</t>
  </si>
  <si>
    <t>5. Flaying captives.</t>
  </si>
  <si>
    <t>6. Burning seaside villages.</t>
  </si>
  <si>
    <t>7. Plundering the ships of a wealthy tyrant.</t>
  </si>
  <si>
    <t>8. Using a lot of explosives.</t>
  </si>
  <si>
    <t>9. Convening with ghosts.</t>
  </si>
  <si>
    <t>10. Romantic escapades.</t>
  </si>
  <si>
    <t>11. Singing bawdy songs.</t>
  </si>
  <si>
    <t>12. Drinking too much rum.</t>
  </si>
  <si>
    <t>INDIVIDUAL PIRATES</t>
  </si>
  <si>
    <t>d12 Tattoo: The pirate has...</t>
  </si>
  <si>
    <t>1. A dagger tattoo.</t>
  </si>
  <si>
    <t>2. An anchor tattoo.</t>
  </si>
  <si>
    <t>3. A skull tattoo.</t>
  </si>
  <si>
    <t>4. A pair of crossed bones tattoo.</t>
  </si>
  <si>
    <t>5. A snake tattoo.</t>
  </si>
  <si>
    <t>6. A fish tattoo.</t>
  </si>
  <si>
    <t>7. A spider web tattoo.</t>
  </si>
  <si>
    <t>8. An octopus tattoo.</t>
  </si>
  <si>
    <t>9. A whale tattoo.</t>
  </si>
  <si>
    <t>10. A lobster tattoo.</t>
  </si>
  <si>
    <t>11. A mermaid tattoo.</t>
  </si>
  <si>
    <t>12. A dragon tattoo.</t>
  </si>
  <si>
    <t>d12 Distinguishing feature: The pirate has...</t>
  </si>
  <si>
    <t>3. Gold teeth.</t>
  </si>
  <si>
    <t>4. An oversized dagger in the belt.</t>
  </si>
  <si>
    <t>7. An eyepatch.</t>
  </si>
  <si>
    <t>8. A long black beard.</t>
  </si>
  <si>
    <t>d50 The shop sells...</t>
  </si>
  <si>
    <t>1. Weapons</t>
  </si>
  <si>
    <t>2. Armor</t>
  </si>
  <si>
    <t>3. Magical items</t>
  </si>
  <si>
    <t>4. Fresh food</t>
  </si>
  <si>
    <t>5. Cured food</t>
  </si>
  <si>
    <t>6. Livestock</t>
  </si>
  <si>
    <t>7. Slaves</t>
  </si>
  <si>
    <t>8. Services</t>
  </si>
  <si>
    <t>9. Mostly junk</t>
  </si>
  <si>
    <t>10. Artwork</t>
  </si>
  <si>
    <t>11. Jewellery</t>
  </si>
  <si>
    <t>12. Gems and Ores</t>
  </si>
  <si>
    <t>13. Mining tools</t>
  </si>
  <si>
    <t>14. Household goods</t>
  </si>
  <si>
    <t>15. Farming tools</t>
  </si>
  <si>
    <t>16. Animal feed</t>
  </si>
  <si>
    <t>17. Crafting tools</t>
  </si>
  <si>
    <t>18. Ales and Liqueur</t>
  </si>
  <si>
    <t>19. Items of interest from a previous generation</t>
  </si>
  <si>
    <t>20. Items of interest from a far-away land</t>
  </si>
  <si>
    <t>21. Clothing</t>
  </si>
  <si>
    <t>22. Gnomish Gadgets</t>
  </si>
  <si>
    <t>23. Potions</t>
  </si>
  <si>
    <t>24. Poisons</t>
  </si>
  <si>
    <t>25. Alchemical Supplies</t>
  </si>
  <si>
    <t>26. Magical Supplies</t>
  </si>
  <si>
    <t>27. Musical instruments</t>
  </si>
  <si>
    <t>28. Fabrics</t>
  </si>
  <si>
    <t>29. A little bit of everything</t>
  </si>
  <si>
    <t>30. Spices</t>
  </si>
  <si>
    <t>31. Hunting Tools</t>
  </si>
  <si>
    <t>32. Herbs</t>
  </si>
  <si>
    <t>33. Remedies and tonics</t>
  </si>
  <si>
    <t>34. Books</t>
  </si>
  <si>
    <t>35. Dolls</t>
  </si>
  <si>
    <t>36. Toys</t>
  </si>
  <si>
    <t>37. Exotic Animals</t>
  </si>
  <si>
    <t>38. Furs and Pelts</t>
  </si>
  <si>
    <t>39. Illicit Goods</t>
  </si>
  <si>
    <t>40. Cheeses</t>
  </si>
  <si>
    <t>41. Meats</t>
  </si>
  <si>
    <t>42. Pack animals</t>
  </si>
  <si>
    <t>43. Building supplies</t>
  </si>
  <si>
    <t>44. Fruits and vegetables</t>
  </si>
  <si>
    <t>45. Supplies for a local guild</t>
  </si>
  <si>
    <t>46. Leather goods</t>
  </si>
  <si>
    <t>47. Good crafted from rare metals</t>
  </si>
  <si>
    <t>48. Beauty and hygiene supplies</t>
  </si>
  <si>
    <t>49. Magical creatures</t>
  </si>
  <si>
    <t>50. Wagon wheels</t>
  </si>
  <si>
    <t>d10 The shop's type is...</t>
  </si>
  <si>
    <t>1. A building in a merchant district</t>
  </si>
  <si>
    <t>2. Attached to the merchant's home</t>
  </si>
  <si>
    <t>3. A wagon pulled by a horse or ox team</t>
  </si>
  <si>
    <t>4. Under a tent</t>
  </si>
  <si>
    <t>5. In an open bazaar on a rug</t>
  </si>
  <si>
    <t>6. In a stall in a bazaar</t>
  </si>
  <si>
    <t>7. In the back room of another shop</t>
  </si>
  <si>
    <t>8. A merchant caravan</t>
  </si>
  <si>
    <t>9. In a place only accessibly by magic</t>
  </si>
  <si>
    <t>10. A franchise. The shop can be found in multiple places</t>
  </si>
  <si>
    <t>d12 The shop is owned by...</t>
  </si>
  <si>
    <t>1. A beady-eyed accountant</t>
  </si>
  <si>
    <t>2. A guild leader</t>
  </si>
  <si>
    <t>3. A noble</t>
  </si>
  <si>
    <t>4. An obsessive-compulsive gnome</t>
  </si>
  <si>
    <t>5. A greedy dwarf</t>
  </si>
  <si>
    <t>6. A former soldier</t>
  </si>
  <si>
    <t>7. A farmer's wife</t>
  </si>
  <si>
    <t>8. A snobby high-elf</t>
  </si>
  <si>
    <t>9. A forgetful halfling</t>
  </si>
  <si>
    <t>10. An oppressive brute</t>
  </si>
  <si>
    <t>11. An old crone</t>
  </si>
  <si>
    <t>12. A lazy half-orc</t>
  </si>
  <si>
    <t>d6 The shop's condition is...</t>
  </si>
  <si>
    <t>1. Brand new. Everything has a place, and is in its place</t>
  </si>
  <si>
    <t>2. Well maintained. It is cleaned regularly</t>
  </si>
  <si>
    <t>3. Average. A little dusty</t>
  </si>
  <si>
    <t>4. Unkempt. Bugs and rodents scurry away from your footsteps</t>
  </si>
  <si>
    <t>5. Dark. There is no natural light. Only a candle or two light the shop</t>
  </si>
  <si>
    <t>6. Decrepit. The building should be condemned</t>
  </si>
  <si>
    <t>d6 The condition of the merchandise is...</t>
  </si>
  <si>
    <t>1. Pristine. Kept in the best possible condition</t>
  </si>
  <si>
    <t>2. Cleaned regularly</t>
  </si>
  <si>
    <t>3. Mixed. Some items look new, while some look like they have been there a long time</t>
  </si>
  <si>
    <t>4. Dusty and dirty</t>
  </si>
  <si>
    <t>5. Falling apart</t>
  </si>
  <si>
    <t>d6 The shop gets its supplies from...</t>
  </si>
  <si>
    <t>1. They are crafted or attained by the merchant himself</t>
  </si>
  <si>
    <t>2. They are crafted or attained by the merchant's apprentices</t>
  </si>
  <si>
    <t>3. The merchant's business partner</t>
  </si>
  <si>
    <t>4. They are crafted elsewhere in bulk, and sold in the shop</t>
  </si>
  <si>
    <t>5. They are purchased from other people in town and resold</t>
  </si>
  <si>
    <t>6. No one knows, and no one asks</t>
  </si>
  <si>
    <t>d8 The items are priced...</t>
  </si>
  <si>
    <t>1. Fairly</t>
  </si>
  <si>
    <t>2. Below value</t>
  </si>
  <si>
    <t>3. Above value</t>
  </si>
  <si>
    <t>4. Exorbitantly</t>
  </si>
  <si>
    <t>5. Everything is for barter</t>
  </si>
  <si>
    <t>6. "Other" means of payment are encouraged</t>
  </si>
  <si>
    <t>7. Based on the merchant's mood</t>
  </si>
  <si>
    <t>8. Based on how much the merchant thinks the customer needs it.</t>
  </si>
  <si>
    <t>d5 The shop's size is...</t>
  </si>
  <si>
    <t>1. Giant. Multiple rooms</t>
  </si>
  <si>
    <t>2. Large. One big room</t>
  </si>
  <si>
    <t>3. Average. One room big enough to hold what is needed</t>
  </si>
  <si>
    <t>4. Small. The room feels cluttered</t>
  </si>
  <si>
    <t>5. Tiny. The merchant practically operates out of a pack</t>
  </si>
  <si>
    <t>d4 How busy is the shop...</t>
  </si>
  <si>
    <t>1. It's one of the most popular places to visit</t>
  </si>
  <si>
    <t>2. A few people mill in and out of the shop</t>
  </si>
  <si>
    <t>3. Not very busy. You are the only people there</t>
  </si>
  <si>
    <t>4. It rarely sees a customer</t>
  </si>
  <si>
    <t>d50 Something interesting you find...</t>
  </si>
  <si>
    <t>1. The shopkeeper lives in a room attached to the shop</t>
  </si>
  <si>
    <t>2. There is a secret room in the back to sell illicit wares</t>
  </si>
  <si>
    <t>3. The shopkeeper does not seem to belong there</t>
  </si>
  <si>
    <t>4. One of the items does not seem to belong there</t>
  </si>
  <si>
    <t>5. A bell rings every time someone enters the shop</t>
  </si>
  <si>
    <t>6. The shopkeeper is unusually friendly</t>
  </si>
  <si>
    <t>7. The shopkeeper does not seem to want any business</t>
  </si>
  <si>
    <t>8. Some items are oddly magical (or non-magical)</t>
  </si>
  <si>
    <t>9. You feel an unseen presence watching you</t>
  </si>
  <si>
    <t>10. Magical barriers prevent people from handling the merchandise</t>
  </si>
  <si>
    <t>11. A goblin is handling some of the wares</t>
  </si>
  <si>
    <t>12. A ogre is leashed to one of the walls</t>
  </si>
  <si>
    <t>13. A couple dogs keep an eye on you, while chewing on a bone</t>
  </si>
  <si>
    <t>14. A cat follows you around the shop</t>
  </si>
  <si>
    <t>15. A goat seems to be keeping guard outside the shop</t>
  </si>
  <si>
    <t>16. A rats nest is forming in a secluded corner</t>
  </si>
  <si>
    <t>17. A talking bird insists on yelling obscenities at you</t>
  </si>
  <si>
    <t>18. Many items are being packed for sale</t>
  </si>
  <si>
    <t>19. A new shipment has just arrived, and is being stocked</t>
  </si>
  <si>
    <t>20. You hear noises from the roof or room above the shop</t>
  </si>
  <si>
    <t>21. The floor is cracked</t>
  </si>
  <si>
    <t>22. The merchant is cleaning up an item that was ruined on the shop floor</t>
  </si>
  <si>
    <t>23. The shopkeeper is arguing with an employee</t>
  </si>
  <si>
    <t>24. A monkey follows you and tries to hand merchandise to you</t>
  </si>
  <si>
    <t>25. Footprints lead directly into a wall</t>
  </si>
  <si>
    <t>26. A raven tries to steal items from your bag</t>
  </si>
  <si>
    <t>27. The merchant's young children are trying unsuccessfully at a hard sale</t>
  </si>
  <si>
    <t>28. The merchant does not speak common</t>
  </si>
  <si>
    <t>29. Items change when you're not looking</t>
  </si>
  <si>
    <t>30. Music is playing throughout the shop</t>
  </si>
  <si>
    <t>31. The merchant can tell a story behind everything he sells</t>
  </si>
  <si>
    <t>32. Some of the items appear stolen</t>
  </si>
  <si>
    <t>33. The shop is only open at night</t>
  </si>
  <si>
    <t>34. The shop is closed for the day</t>
  </si>
  <si>
    <t>35. An unusual item is for sale with a dark backstory</t>
  </si>
  <si>
    <t>36. A couple of thugs are holding up the merchant</t>
  </si>
  <si>
    <t>37. One of the customers is trying to shoplift</t>
  </si>
  <si>
    <t>38. The shop has a strong odor of mildew</t>
  </si>
  <si>
    <t>39. The shop is owned by a friend or former party member</t>
  </si>
  <si>
    <t>40. A ghost is browsing the merchandise</t>
  </si>
  <si>
    <t>41. The shopkeeper is fast asleep</t>
  </si>
  <si>
    <t>42. The shopkeeper has a pungent and offensive smell</t>
  </si>
  <si>
    <t>43. The shopkeeper is a forceful salesman</t>
  </si>
  <si>
    <t>44. A legendary weapon is on display, but not for sale</t>
  </si>
  <si>
    <t>45. Murals line the walls</t>
  </si>
  <si>
    <t>46. The merchant insists he is from an ancient line of powerful merchants</t>
  </si>
  <si>
    <t>47. The merchant dresses much better than expected</t>
  </si>
  <si>
    <t>48. The merchant looks like a beggar</t>
  </si>
  <si>
    <t>49. Constables or the local guard are interviewing everyone in the shop</t>
  </si>
  <si>
    <t>50. The shopkeeper just died</t>
  </si>
  <si>
    <t>Treasure Map Generator</t>
  </si>
  <si>
    <t>d20 Find the...</t>
  </si>
  <si>
    <t>1. Big cracked boulder.</t>
  </si>
  <si>
    <t>2. Lightning-blasted oak tree.</t>
  </si>
  <si>
    <t>3. Rock shaped like a horse.</t>
  </si>
  <si>
    <t>4. Stone wall with a piece of volcanic glass .</t>
  </si>
  <si>
    <t>5. Exact center of the village/town/city.</t>
  </si>
  <si>
    <t>6. Statue of a famous person.</t>
  </si>
  <si>
    <t>7. Shipwreck of an infamous pirate ship.</t>
  </si>
  <si>
    <t>8. Bones of the black dragon.</t>
  </si>
  <si>
    <t>9. Cavern near the waterfall.</t>
  </si>
  <si>
    <t>10. Top of the volcano.</t>
  </si>
  <si>
    <t>11. Exact center of the lake.</t>
  </si>
  <si>
    <t>12. Abandoned Temple.</t>
  </si>
  <si>
    <t>13. Old Fort.</t>
  </si>
  <si>
    <t>14. Old Standing Circle.</t>
  </si>
  <si>
    <t>15. Road marker leading south.</t>
  </si>
  <si>
    <t>16. Exact center of the longest bridge.</t>
  </si>
  <si>
    <t>17. Hangman's scaffold.</t>
  </si>
  <si>
    <t>18. King's/Queens throne room.</t>
  </si>
  <si>
    <t>19. Crossroads.</t>
  </si>
  <si>
    <t>20. Largest tomb in the cemetery.</t>
  </si>
  <si>
    <t>d8 Then...</t>
  </si>
  <si>
    <t>1. Go North for 1-4 miles.</t>
  </si>
  <si>
    <t>2. Go South for 1-4 miles.</t>
  </si>
  <si>
    <t>3. Go East for 1-4 miles.</t>
  </si>
  <si>
    <t>4. Go West for 1-4 miles.</t>
  </si>
  <si>
    <t>5. Go Northeast for 1-4 miles.</t>
  </si>
  <si>
    <t>6. Go Northwest for 1-4 miles.</t>
  </si>
  <si>
    <t>7. Go Southeast for 1-4 miles.</t>
  </si>
  <si>
    <t>8. Go Southwest for 1-4 miles.</t>
  </si>
  <si>
    <t>d20 Until you find the...</t>
  </si>
  <si>
    <t>1. Mountain shaped like a tooth.</t>
  </si>
  <si>
    <t>2. Hill shaped like a saddle.</t>
  </si>
  <si>
    <t>3. Cliffs of red stone.</t>
  </si>
  <si>
    <t>4. Tiny caves in a white hill.</t>
  </si>
  <si>
    <t>5. Old fortress ruins.</t>
  </si>
  <si>
    <t>6. Dried up creekbed.</t>
  </si>
  <si>
    <t>7. Swift-running river.</t>
  </si>
  <si>
    <t>8. Waterfall.</t>
  </si>
  <si>
    <t>9. Abandoned village.</t>
  </si>
  <si>
    <t>10. Tree with a large hole in it.</t>
  </si>
  <si>
    <t>11. Toppled statue of a deity.</t>
  </si>
  <si>
    <t>12. Landslide of shale and gravel.</t>
  </si>
  <si>
    <t>13. Steep-sided valley with blue flowers.</t>
  </si>
  <si>
    <t>14. Beach strewn with black seashells.</t>
  </si>
  <si>
    <t>15. Broken remains of a watchtower.</t>
  </si>
  <si>
    <t>16. Road marker pointing east.</t>
  </si>
  <si>
    <t>17. Dilapidated hunter's shack.</t>
  </si>
  <si>
    <t>18. Crossroads.</t>
  </si>
  <si>
    <t>19. Hand-cut stairway into the hillside.</t>
  </si>
  <si>
    <t>20. The canyon with natural stairs leading down.</t>
  </si>
  <si>
    <t>1. Rock shaped like a heart.</t>
  </si>
  <si>
    <t>2. Mountain shaped like a bird's head.</t>
  </si>
  <si>
    <t>3. Petrified forest.</t>
  </si>
  <si>
    <t>4. Salt lake.</t>
  </si>
  <si>
    <t>5. Dried up swampland.</t>
  </si>
  <si>
    <t>6. Broken bridge.</t>
  </si>
  <si>
    <t>7. Old abandoned mill.</t>
  </si>
  <si>
    <t>8. The ruined tower of a famous mage.</t>
  </si>
  <si>
    <t>9. The ancient cemetery.</t>
  </si>
  <si>
    <t>10. The mossy limestone cliffs.</t>
  </si>
  <si>
    <t>11. The old granite quarry.</t>
  </si>
  <si>
    <t>12. The abandoned campgrounds.</t>
  </si>
  <si>
    <t>13. The vandalized statue of a former ruler.</t>
  </si>
  <si>
    <t>14. The crossroads.</t>
  </si>
  <si>
    <t>15. The road marker pointing West.</t>
  </si>
  <si>
    <t>16. Shipwreck of a well-known war ship.</t>
  </si>
  <si>
    <t>17. Minaret.</t>
  </si>
  <si>
    <t>18. Quicksand.</t>
  </si>
  <si>
    <t>19. Hills honeycombed with caves.</t>
  </si>
  <si>
    <t>20. Old King's Forest.</t>
  </si>
  <si>
    <t>d20 You'll find the treasure...</t>
  </si>
  <si>
    <t>1. Buried at the foot of a cliff.</t>
  </si>
  <si>
    <t>2. Buried under a mighty oak tree.</t>
  </si>
  <si>
    <t>3. Buried under some tower ruins.</t>
  </si>
  <si>
    <t>4. Buried under a pile of skulls.</t>
  </si>
  <si>
    <t>5. Buried in the grave of a famous person.</t>
  </si>
  <si>
    <t>6. Hidden at the top of an old tower.</t>
  </si>
  <si>
    <t>7. Hidden behind an old painting.</t>
  </si>
  <si>
    <t>8. Hidden at the bottom of an old rabbit's warren.</t>
  </si>
  <si>
    <t>9. Hidden in the bole of an ancient elm tree.</t>
  </si>
  <si>
    <t>10. Hidden in a shipwreck's hold.</t>
  </si>
  <si>
    <t>11. Guarded by assassins.</t>
  </si>
  <si>
    <t>12. Guarded by monsters.</t>
  </si>
  <si>
    <t>13. Guarded by soldiers.</t>
  </si>
  <si>
    <t>14. Guarded by spirits.</t>
  </si>
  <si>
    <t>15. Guarded by a big monster.</t>
  </si>
  <si>
    <t>16. Protected by magical wards.</t>
  </si>
  <si>
    <t>17. Protected by astral locks.</t>
  </si>
  <si>
    <t>18. Protected by physical traps.</t>
  </si>
  <si>
    <t>19. Protected by necromantic curses.</t>
  </si>
  <si>
    <t>20. Protected by spiritual prayers.</t>
  </si>
  <si>
    <t>Random Thieves</t>
  </si>
  <si>
    <t>d12 The thief is...</t>
  </si>
  <si>
    <t>1. A veteran dungeon delver.</t>
  </si>
  <si>
    <t>2. A desperate footpad.</t>
  </si>
  <si>
    <t>3. A reckless fortune seeker.</t>
  </si>
  <si>
    <t>4. A well-known adventurer.</t>
  </si>
  <si>
    <t>5. A brash, young fool.</t>
  </si>
  <si>
    <t>6. A student of the craft.</t>
  </si>
  <si>
    <t>7. A charismatic swindler.</t>
  </si>
  <si>
    <t>9. A femme fatale.</t>
  </si>
  <si>
    <t>10. A charming rogue.</t>
  </si>
  <si>
    <t>11. A dashing swashbuckler.</t>
  </si>
  <si>
    <t>12. A brutish thug.</t>
  </si>
  <si>
    <t>d12 The thief has...</t>
  </si>
  <si>
    <t>1. A long, hooked nose.</t>
  </si>
  <si>
    <t>2. A bent, broken nose.</t>
  </si>
  <si>
    <t>3. A cute little button nose.</t>
  </si>
  <si>
    <t>4. A scar below the left eye.</t>
  </si>
  <si>
    <t>5. Pockmarked cheeks.</t>
  </si>
  <si>
    <t>6. High cheek bones.</t>
  </si>
  <si>
    <t>7. A pointy chin.</t>
  </si>
  <si>
    <t>8. A thug's tattoo on the arm (d8): 1. crossed bones; 2. dagger; 3. dragon; 4. eagle; 5. skull; 6. snake; 7. spider web; 8. thorns.</t>
  </si>
  <si>
    <t>9. A sailor's tattoo on the arm (d6): 1. anchor; 2. fish; 3. mermaid; 4. octopus; 5. shark; 6. whale.</t>
  </si>
  <si>
    <t>10. An open shirt and a very hairy chest.</t>
  </si>
  <si>
    <t>11. A five o'clock shadow.</t>
  </si>
  <si>
    <t>d12 The thief wears...</t>
  </si>
  <si>
    <t>1. A flashy earring.</t>
  </si>
  <si>
    <t>2. A dark red cape.</t>
  </si>
  <si>
    <t>3. Shiny leather boots.</t>
  </si>
  <si>
    <t>4. Boots with a hole in the left toe.</t>
  </si>
  <si>
    <t>5. A leather baldric.</t>
  </si>
  <si>
    <t>7. A heavy gold chain around the neck.</t>
  </si>
  <si>
    <t>8. A long dark ponytail.</t>
  </si>
  <si>
    <t>9. Luscious golden curls.</t>
  </si>
  <si>
    <t>10. A ruffled shirt.</t>
  </si>
  <si>
    <t>11. A stylish coat.</t>
  </si>
  <si>
    <t>12. A handkerchief in his breast pocket.</t>
  </si>
  <si>
    <t>d20 The thief carries...</t>
  </si>
  <si>
    <t>1. Some hemp rope and a silk handkerchief.</t>
  </si>
  <si>
    <t>2. Several over-sized sacks.</t>
  </si>
  <si>
    <t>3. Several torches and a much-used knife.</t>
  </si>
  <si>
    <t>4. A pocketbook of notes and maps.</t>
  </si>
  <si>
    <t>5. A dagger in each boot.</t>
  </si>
  <si>
    <t>6. A beautiful antique scabbard.</t>
  </si>
  <si>
    <t>7. A well-worn lantern.</t>
  </si>
  <si>
    <t>8. Climbing gear—pitons, hammer, and rope.</t>
  </si>
  <si>
    <t>9. An organized set of lockpicks.</t>
  </si>
  <si>
    <t>10. A crowbar.</t>
  </si>
  <si>
    <t>11. An adjustable lockpick.</t>
  </si>
  <si>
    <t>12. A mask.</t>
  </si>
  <si>
    <t>13. The token of a love.</t>
  </si>
  <si>
    <t>14. Letters for blackmail.</t>
  </si>
  <si>
    <t>15. A lucky charm (d4): 1. rabbit's foot; 2. lucky coin; 3. horseshoe; 4. four-leafed clover.</t>
  </si>
  <si>
    <t>16. A flask of oil.</t>
  </si>
  <si>
    <t>17. A treasure map.</t>
  </si>
  <si>
    <t>18. A flask filled with spirits.</t>
  </si>
  <si>
    <t>19. A wineskin.</t>
  </si>
  <si>
    <t>20. A little jar of mustache wax.</t>
  </si>
  <si>
    <t>d6 The thief...</t>
  </si>
  <si>
    <t>1. Hums or sings while walking.</t>
  </si>
  <si>
    <t>2. Constantly brushes the hair back from out of his or her face.</t>
  </si>
  <si>
    <t>3. Laughs maniacally at everything.</t>
  </si>
  <si>
    <t>4. Never smiles and never laughs.</t>
  </si>
  <si>
    <t>5. Scratches the elbow frequently.</t>
  </si>
  <si>
    <t>6. Picks at his or her teeth after meals.</t>
  </si>
  <si>
    <t>d10 The thief is armed with...</t>
  </si>
  <si>
    <t>1. Brass knuckles.</t>
  </si>
  <si>
    <t>2. A shortsword.</t>
  </si>
  <si>
    <t>3. Several throwing knives.</t>
  </si>
  <si>
    <t>4. A crossbow with poisoned bolts.</t>
  </si>
  <si>
    <t>5. A narrow-bladed dagger.</t>
  </si>
  <si>
    <t>6. A serrated dagger.</t>
  </si>
  <si>
    <t>7. A club and a knife.</t>
  </si>
  <si>
    <t>8. A rapier.</t>
  </si>
  <si>
    <t>9. A hand crossbow.</t>
  </si>
  <si>
    <t>10. A garrote and a dagger.</t>
  </si>
  <si>
    <t>d10 The thief is looking for...</t>
  </si>
  <si>
    <t>1. Accomplices to carry out a job.</t>
  </si>
  <si>
    <t>2. Revenge against a rival thief.</t>
  </si>
  <si>
    <t>3. Revenge against an officer of the law.</t>
  </si>
  <si>
    <t>4. An easy mark.</t>
  </si>
  <si>
    <t>5. Extra muscle for a job.</t>
  </si>
  <si>
    <t>6. Rumors that may lead to a big score.</t>
  </si>
  <si>
    <t>7. An ear to listen to some boasting.</t>
  </si>
  <si>
    <t>8. The location of storied item of value.</t>
  </si>
  <si>
    <t>9. Someone more wealthy than you.</t>
  </si>
  <si>
    <t>10. A rowdy evening of carousing.</t>
  </si>
  <si>
    <t>d8 The thief's modus operandi is...</t>
  </si>
  <si>
    <t>1. Petty theft.</t>
  </si>
  <si>
    <t>2. Burglary.</t>
  </si>
  <si>
    <t>3. Shoplifting.</t>
  </si>
  <si>
    <t>4. Mugging.</t>
  </si>
  <si>
    <t>5. Pickpocketing.</t>
  </si>
  <si>
    <t>6. Running heists of gems and precious metals.</t>
  </si>
  <si>
    <t>7. Running heists of warehoused commodities.</t>
  </si>
  <si>
    <t>8. Holding up outgoing boats or wagons.</t>
  </si>
  <si>
    <t>d6 The thief prefers to operate...</t>
  </si>
  <si>
    <t>2. With a partner to provide extra muscle if things get rough.</t>
  </si>
  <si>
    <t>3. With a partner to serve as a look-out.</t>
  </si>
  <si>
    <t>4. With a partner to create a diversion.</t>
  </si>
  <si>
    <t>5. With a gang.</t>
  </si>
  <si>
    <t>6. Wearing a mask.</t>
  </si>
  <si>
    <t>d8 Aside from theft, the thief has been known to be involved in...</t>
  </si>
  <si>
    <t>2. Fencing stolen gems and precious metals.</t>
  </si>
  <si>
    <t>3. Assassinations that look like accidents.</t>
  </si>
  <si>
    <t>4. Assassinations that frame someone else.</t>
  </si>
  <si>
    <t>6. Shaking down legitimate local businesses for "protection."</t>
  </si>
  <si>
    <t>7. Shaking down scandal-plagued city officials.</t>
  </si>
  <si>
    <t>8. Serving as muscle for shady merchants and/or brothel-keepers.</t>
  </si>
  <si>
    <t>d20 Recently, the thief has been operating in or near...</t>
  </si>
  <si>
    <t>1. A residential district.</t>
  </si>
  <si>
    <t>4. A inn.</t>
  </si>
  <si>
    <t>8. A cemetery.</t>
  </si>
  <si>
    <t>13. The palace</t>
  </si>
  <si>
    <t>14. A library or university.</t>
  </si>
  <si>
    <t>15. The market square.</t>
  </si>
  <si>
    <t>16. A gatehouse.</t>
  </si>
  <si>
    <t>17. A pub.</t>
  </si>
  <si>
    <t>18. A tavern.</t>
  </si>
  <si>
    <t>19. The docks.</t>
  </si>
  <si>
    <t>20. The bridge.</t>
  </si>
  <si>
    <t>d20 The thief's favorite marks include...</t>
  </si>
  <si>
    <t>2. Beggars and hobos.</t>
  </si>
  <si>
    <t>7. Soldiers and sellswords.</t>
  </si>
  <si>
    <t>8. Musicians and storytellers.</t>
  </si>
  <si>
    <t>9. Farmers and herders.</t>
  </si>
  <si>
    <t>13. Peasant girls and farm wives.</t>
  </si>
  <si>
    <t>14. Young noblewomen.</t>
  </si>
  <si>
    <t>15. Old women.</t>
  </si>
  <si>
    <t>16. Noblemen.</t>
  </si>
  <si>
    <t>17. Harlots and madames.</t>
  </si>
  <si>
    <t>18. Barkeeps and barmaids</t>
  </si>
  <si>
    <t>19. Peddlers and shopkeepers.</t>
  </si>
  <si>
    <t>20. Other thieves.</t>
  </si>
  <si>
    <t>Random Ships</t>
  </si>
  <si>
    <t>d6 Size. The ship is...</t>
  </si>
  <si>
    <t>1. Very small, a one or two-person crew.</t>
  </si>
  <si>
    <t>2. Small, with several crew members.</t>
  </si>
  <si>
    <t>3. Regular, with a crew around 10-20</t>
  </si>
  <si>
    <t>4. Large, with a crew up to 50.</t>
  </si>
  <si>
    <t>5. Very Large with a crew up to a hundred.</t>
  </si>
  <si>
    <t>6. Massive, with a crew of several hundred.</t>
  </si>
  <si>
    <t>d10 Type. The ships type is a...</t>
  </si>
  <si>
    <t>1. Warship, a powerful ship ready for combat</t>
  </si>
  <si>
    <t>2. Frigate, a smaller warship with speed and manoeuvrability.</t>
  </si>
  <si>
    <t>3. Battleship, highly armed and highly armoured.</t>
  </si>
  <si>
    <t>4. Yacht, an expensive pleasure boat.</t>
  </si>
  <si>
    <t>5. Ship-town, a floating nomadic town that goes where it pleases.</t>
  </si>
  <si>
    <t>6. Cargo ship, going from harbour to harbour with precious cargo.</t>
  </si>
  <si>
    <t>7. A transport ship, for transporting soldiers or people from place to place.</t>
  </si>
  <si>
    <t>8. Fishing boat, for fishing or perhaps sea monster hunting.</t>
  </si>
  <si>
    <t>9. Flagship, that leads a fleet of other ships.</t>
  </si>
  <si>
    <t>10. Lifeboat, an emergency boat.</t>
  </si>
  <si>
    <t>d8 Style. The boat is built in the style of...</t>
  </si>
  <si>
    <t>1. Humans. Practical and functional.</t>
  </si>
  <si>
    <t>2. Orcs. Things are spikey, adorned with metal and shamanistic symbols.</t>
  </si>
  <si>
    <t>3. Elves. An elegant craft that glides through the water.</t>
  </si>
  <si>
    <t>4. Dwarves. A bulky metal ship which cares for use rather than appearance.</t>
  </si>
  <si>
    <t>5. Gnomes. A smaller metal or wooden craft with strange curious technology.</t>
  </si>
  <si>
    <t>6. Dragonborn. A regal ship with draconic designs.</t>
  </si>
  <si>
    <t>7. Halflings. Similar to human design but with smaller stockier design, and more focus on the kitchen.</t>
  </si>
  <si>
    <t>8. Unknown. The ship seems strange. Perhaps from a different world.</t>
  </si>
  <si>
    <t>d20 Crew. The crew is made of...</t>
  </si>
  <si>
    <t>1. Navy soldiers patrolling the seas for pirates.</t>
  </si>
  <si>
    <t>2. Soldiers being transferred to a far off war.</t>
  </si>
  <si>
    <t>3. Independent bounty and pirate hunters.</t>
  </si>
  <si>
    <t>4. Pirates looking to get plunder any way they can.</t>
  </si>
  <si>
    <t>5. A pirate king and his elite crew, who terrifies others.</t>
  </si>
  <si>
    <t>6. Pirates who are in mutiny after the captain was killed.</t>
  </si>
  <si>
    <t>7. Lawful Pirates who follow a strict code of honour.</t>
  </si>
  <si>
    <t>8. Explorers trying to find new places in the world.</t>
  </si>
  <si>
    <t>9. Relic Hunters trying to find artefacts under the water.</t>
  </si>
  <si>
    <t>10. Fishermen who just want to make their living.</t>
  </si>
  <si>
    <t>11. Monster Hunters hunting a sea monster.</t>
  </si>
  <si>
    <t>12. Hired privateers who are working for a nearby army.</t>
  </si>
  <si>
    <t>13. Refugees who left their lands.</t>
  </si>
  <si>
    <t>14. Adventurers who are on a grand quest.</t>
  </si>
  <si>
    <t>15. Sailors working simple jobs.</t>
  </si>
  <si>
    <t>16. Monsters who have taken hold of the ship.</t>
  </si>
  <si>
    <t>17. Fiends who have taken hold of the ship.</t>
  </si>
  <si>
    <t>18. A noble and his bodyguards.</t>
  </si>
  <si>
    <t>19. Sailors trying to make a new living on the sea.</t>
  </si>
  <si>
    <t>20. Traders who got way in over their heads.</t>
  </si>
  <si>
    <t>d10 Power. The ship is powered by...</t>
  </si>
  <si>
    <t>1. Sails only.</t>
  </si>
  <si>
    <t>2. Sails and rowing.</t>
  </si>
  <si>
    <t>3. Rowing.</t>
  </si>
  <si>
    <t>4. A mage manipulating the wind and water around the ship.</t>
  </si>
  <si>
    <t>5. Sea creatures pulling the ship.</t>
  </si>
  <si>
    <t>6. A magical engine.</t>
  </si>
  <si>
    <t>7. An ancient artefact.</t>
  </si>
  <si>
    <t>8. A water wheel engine.</t>
  </si>
  <si>
    <t>9. Water/wind elementals.</t>
  </si>
  <si>
    <t>10. A steampunk engine.</t>
  </si>
  <si>
    <t>d20 Combat. The ship in combat uses...</t>
  </si>
  <si>
    <t>1. Nothing. The ship has no defences.</t>
  </si>
  <si>
    <t>2. Prayer to their gods.</t>
  </si>
  <si>
    <t>3. Harpoons, and pulls the enemy ships closer for boarding.</t>
  </si>
  <si>
    <t>4. A battering ram.</t>
  </si>
  <si>
    <t>5. Magical energy cannons.</t>
  </si>
  <si>
    <t>6. Cannons.</t>
  </si>
  <si>
    <t>7. Catapults.</t>
  </si>
  <si>
    <t>8. Trebuchets.</t>
  </si>
  <si>
    <t>9. Archers.</t>
  </si>
  <si>
    <t>10. Great crossbows.</t>
  </si>
  <si>
    <t>11. Boarding parties.</t>
  </si>
  <si>
    <t>12. Elemental magic.</t>
  </si>
  <si>
    <t>13. Fiendish magic.</t>
  </si>
  <si>
    <t>14. Bombs thrown from crew.</t>
  </si>
  <si>
    <t>15. Smaller ships with boarders.</t>
  </si>
  <si>
    <t>16. Illusions and mind games.</t>
  </si>
  <si>
    <t>17. Spears.</t>
  </si>
  <si>
    <t>18. Spikes on the side of the ship.</t>
  </si>
  <si>
    <t>19. Creatures catapulted at the enemy.</t>
  </si>
  <si>
    <t>20. Hexes and curses.</t>
  </si>
  <si>
    <t>d20 Trait. The ship is strange as...</t>
  </si>
  <si>
    <t>1. It has a large garden filled with trees, flowers and animals.</t>
  </si>
  <si>
    <t>2. The crew is all undead, cursed to travel the seas.</t>
  </si>
  <si>
    <t>3. The crew worships a kraken and the crew has become mutated sea creatures since.</t>
  </si>
  <si>
    <t>4. The crew all happens to be cannibals.</t>
  </si>
  <si>
    <t>5. Sea birds constantly circle the ship.</t>
  </si>
  <si>
    <t>6. Everyone on the ship is one gender and hates the other.</t>
  </si>
  <si>
    <t>7. The crew seems to have stolen the ship from somewhere else.</t>
  </si>
  <si>
    <t>8. The ship looks like it’s just been in a terrible fight.</t>
  </si>
  <si>
    <t>9. It looks clumsily built.</t>
  </si>
  <si>
    <t>10. The crew all act like nobles and dress in expensive clothing.</t>
  </si>
  <si>
    <t>11. The crew have some kind of blood lust.</t>
  </si>
  <si>
    <t>12. There’s a large amount of animals on the ship.</t>
  </si>
  <si>
    <t>13. The crew is being mind controlled by something.</t>
  </si>
  <si>
    <t>14. The crew is all suffering from a disease.</t>
  </si>
  <si>
    <t>15. The crew is starving.</t>
  </si>
  <si>
    <t>16. The ship is surrounded by mist.</t>
  </si>
  <si>
    <t>17. The ship is carrying a very powerful artefact.</t>
  </si>
  <si>
    <t>18. The ship is being chased.</t>
  </si>
  <si>
    <t>19. The ship is dirty and rotting.</t>
  </si>
  <si>
    <t>20. The ship is booming out loud music.</t>
  </si>
  <si>
    <t>d20 Captain. The Captain is...</t>
  </si>
  <si>
    <t>1. Not there, the ship has been running without a captain.</t>
  </si>
  <si>
    <t>2. A powerful wizard.</t>
  </si>
  <si>
    <t>3. A brawler who fights anyone in fist fights to prove his strength.</t>
  </si>
  <si>
    <t>4. A paladin bound by godly honour.</t>
  </si>
  <si>
    <t>5. A warforged or similar construct.</t>
  </si>
  <si>
    <t>6. A druid of the sea.</t>
  </si>
  <si>
    <t>7. A different race than the rest of the crew.</t>
  </si>
  <si>
    <t>8. Coated in scars and battle wounds.</t>
  </si>
  <si>
    <t>9. A charismatic bard.</t>
  </si>
  <si>
    <t>10. Silent and slow to trust.</t>
  </si>
  <si>
    <t>11. Cursed by something horrific.</t>
  </si>
  <si>
    <t>12. Newly appointed.</t>
  </si>
  <si>
    <t>13. On a secret mission.</t>
  </si>
  <si>
    <t>14. On the warpath.</t>
  </si>
  <si>
    <t>15. Trying to make a lot of money.</t>
  </si>
  <si>
    <t>16. Horrifically ugly.</t>
  </si>
  <si>
    <t>17. Amazingly beautiful.</t>
  </si>
  <si>
    <t>18. Obnoxiously short.</t>
  </si>
  <si>
    <t>19. Blind, has two eyepatches.</t>
  </si>
  <si>
    <t>20. Going to betray everyone.</t>
  </si>
  <si>
    <t>Random Sailors</t>
  </si>
  <si>
    <t>d12 The sailor is...</t>
  </si>
  <si>
    <t>1. A veteran of many voyages.</t>
  </si>
  <si>
    <t>2. A survivor of a notorious shipwreck.</t>
  </si>
  <si>
    <t>3. A cunning pirate, sailing under a false name.</t>
  </si>
  <si>
    <t>4. A green boy, still naive about the dangers of life at sea.</t>
  </si>
  <si>
    <t>5. A bright-eyed young sailor, eager to see the world.</t>
  </si>
  <si>
    <t>6. A disillusioned man, going through the motions.</t>
  </si>
  <si>
    <t>7. A sad young man who misses his family.</t>
  </si>
  <si>
    <t>8. A happy-go-lucky fellow who loves life aboard a ship.</t>
  </si>
  <si>
    <t>9. A terrible rake with a sweetheart in every port.</t>
  </si>
  <si>
    <t>10. Strong as an ox, but with a gentle heart.</t>
  </si>
  <si>
    <t>11. Wiry and quick, scaling the rigging faster than anyone.</t>
  </si>
  <si>
    <t>12. A dangerous man, fierce and bad tempered.</t>
  </si>
  <si>
    <t>d20 Tattoo: The sailor has...</t>
  </si>
  <si>
    <t>4. A thorny vine tattoo.</t>
  </si>
  <si>
    <t>11. A crab tattoo.</t>
  </si>
  <si>
    <t>12. A mermaid tattoo.</t>
  </si>
  <si>
    <t>13. A shark tattoo.</t>
  </si>
  <si>
    <t>14. A dragon tattoo.</t>
  </si>
  <si>
    <t>15. A cloud with a lightning bolt.</t>
  </si>
  <si>
    <t>16. A single-mast sailboat.</t>
  </si>
  <si>
    <t>17. A double-mast ship.</t>
  </si>
  <si>
    <t>18. A sunburst tattoo.</t>
  </si>
  <si>
    <t>19. A moon tattoo.</t>
  </si>
  <si>
    <t>20. A tattoo of a constellation of stars.</t>
  </si>
  <si>
    <t>d20 The sailor's tattoo is a memento of...</t>
  </si>
  <si>
    <t>1. A particularly lengthy voyage.</t>
  </si>
  <si>
    <t>2. Sailing through a dangerous part of the world.</t>
  </si>
  <si>
    <t>3. Crossing a wide sea.</t>
  </si>
  <si>
    <t>4. Visiting an exotic port.</t>
  </si>
  <si>
    <t>5. Visiting an enchanted island.</t>
  </si>
  <si>
    <t>6. Winning a contest.</t>
  </si>
  <si>
    <t>7. Fighting in a battle.</t>
  </si>
  <si>
    <t>8. Serving for a lord or king.</t>
  </si>
  <si>
    <t>9. Surviving a shipwreck.</t>
  </si>
  <si>
    <t>10. Surviving an attack by a sea monster.</t>
  </si>
  <si>
    <t>11. Fending off pirates.</t>
  </si>
  <si>
    <t>12. Sailing with pirates.</t>
  </si>
  <si>
    <t>13. His first voyage.</t>
  </si>
  <si>
    <t>14. A comrade, lost at sea.</t>
  </si>
  <si>
    <t>15. A long lost friend or love.</t>
  </si>
  <si>
    <t>16. A passionate love affair.</t>
  </si>
  <si>
    <t>17. A dead relative.</t>
  </si>
  <si>
    <t>18. The birth of a son or daughter.</t>
  </si>
  <si>
    <t>19. A traumatic childhood experience.</t>
  </si>
  <si>
    <t>20. His childhood home town.</t>
  </si>
  <si>
    <t>d12 Distinguishing facial feature: The sailor has...</t>
  </si>
  <si>
    <t>2. A scar across the cheek.</t>
  </si>
  <si>
    <t>4. A neatly trimmed beard.</t>
  </si>
  <si>
    <t>5. An eyepatch.</t>
  </si>
  <si>
    <t>6. A long, hooked nose.</t>
  </si>
  <si>
    <t>7. Bushy eyebrows.</t>
  </si>
  <si>
    <t>8. Long hair tied up into a bun.</t>
  </si>
  <si>
    <t>9. Dark, curly hair.</t>
  </si>
  <si>
    <t>10. A broad grin.</t>
  </si>
  <si>
    <t>11. Sideburns that meet his mustache.</t>
  </si>
  <si>
    <t>d12 Accessories: The sailor is wearing or carrying...</t>
  </si>
  <si>
    <t>1. Breeches with patches on the knees.</t>
  </si>
  <si>
    <t>3. An oversized dagger in the belt.</t>
  </si>
  <si>
    <t>4. An undersized vest.</t>
  </si>
  <si>
    <t>5. A silver chain around the neck.</t>
  </si>
  <si>
    <t>7. A bandanna tied over the head.</t>
  </si>
  <si>
    <t>8. A cutlass in a scabbard.</t>
  </si>
  <si>
    <t>9. A knife in each boot.</t>
  </si>
  <si>
    <t>10. A puffy shirt.</t>
  </si>
  <si>
    <t>11. A wooden peg where a leg had been.</t>
  </si>
  <si>
    <t>12. An open shirt that shows off a very hairy chest.</t>
  </si>
  <si>
    <t>d12 At the end of a long voyage, the sailor is eager to...</t>
  </si>
  <si>
    <t>1. Weigh anchor and make sail again.</t>
  </si>
  <si>
    <t>2. Spend all his coin on drink.</t>
  </si>
  <si>
    <t>3. Spend all his coin in brothels.</t>
  </si>
  <si>
    <t>4. Spend all his coin on card games and dice.</t>
  </si>
  <si>
    <t>5. Send a letter home to his sweetheart.</t>
  </si>
  <si>
    <t>6. Send a letter home to his mother.</t>
  </si>
  <si>
    <t>7. Find work with the captain of a different ship.</t>
  </si>
  <si>
    <t>8. Find work on shore and put off making another long voyage.</t>
  </si>
  <si>
    <t>9. Get drunk and start a fight.</t>
  </si>
  <si>
    <t>10. Sleep on a real bed.</t>
  </si>
  <si>
    <t>11. Drink and dance the night away.</t>
  </si>
  <si>
    <t>12. Drink and gamble his coin away.</t>
  </si>
  <si>
    <t>d12 When drunk the sailor is prone to...</t>
  </si>
  <si>
    <t>1. Start a fist fight with anyone nearby.</t>
  </si>
  <si>
    <t>2. Sing loudly late into the night.</t>
  </si>
  <si>
    <t>3. Become morose and quiet, withdrawing to be alone.</t>
  </si>
  <si>
    <t>4. Attempt to impress the ladies with any skill, regardless of his level of mastery.</t>
  </si>
  <si>
    <t>5. Tell stories of epic adventures on the high seas with great fervor.</t>
  </si>
  <si>
    <t>6. Tell the same story about an old friend that turned to piracy.</t>
  </si>
  <si>
    <t>7. Act as though he's never met a stranger and everyone is his friend.</t>
  </si>
  <si>
    <t>8. Play childish pranks on anyone nearby, but especially those that don't look like they are having enough fun.</t>
  </si>
  <si>
    <t>9. Wander about town until the wee hours.</t>
  </si>
  <si>
    <t>10. Pass out in a stable and sleep among the horses and pigs until dawn.</t>
  </si>
  <si>
    <t>11. Pass out on a beach or dock, listening to the lullaby of waves tumbling in.</t>
  </si>
  <si>
    <t>12. Steal a dinghy and pass out on the deck of a strange ship.</t>
  </si>
  <si>
    <t>d12 What the sailor really wants is to...</t>
  </si>
  <si>
    <t>1. Own his own ship.</t>
  </si>
  <si>
    <t>2. Retire to a quiet place inland somewhere, as far from the open ocean as possible.</t>
  </si>
  <si>
    <t>3. Make sure his wives on either side of the sea never learn of each other.</t>
  </si>
  <si>
    <t>4. Marry and have a passel of kids to return home to.</t>
  </si>
  <si>
    <t>5. Be recognized for his hard work and maybe be first mate some day.</t>
  </si>
  <si>
    <t>6. Get off the ship and own a shipping brokerage.</t>
  </si>
  <si>
    <t>7. Write a drinking song that will be recognized by everyone.</t>
  </si>
  <si>
    <t>8. Forget the demons of his past.</t>
  </si>
  <si>
    <t>9. Retire to a quiet fishing village with a little boat and a little house with a little woman.</t>
  </si>
  <si>
    <t>10. Face down one of the sea monsters he's heard his mates go on and on about.</t>
  </si>
  <si>
    <t>11. Kill the captain; that guy's an asshole.</t>
  </si>
  <si>
    <t>12. Be a pirate.</t>
  </si>
  <si>
    <t>Random Pickpocket Loot</t>
  </si>
  <si>
    <t>Use these tables for quick inspiration or roll them up randomly.</t>
  </si>
  <si>
    <t>d10 On a successful pickpocket check, the thief finds...</t>
  </si>
  <si>
    <t>1. A scrap of paper or parchment with an unintelligible note scribbled on it.</t>
  </si>
  <si>
    <t>2. A scrap of paper or parchment with a list of mundane items or tasks written on it.</t>
  </si>
  <si>
    <t>3. Some lint or a bit of thread.</t>
  </si>
  <si>
    <t>4. An errant button or broken piece of something.</t>
  </si>
  <si>
    <t>5. An old or well-worn key (roll on the key table).</t>
  </si>
  <si>
    <t>6. An new or little-used key (roll on the key table).</t>
  </si>
  <si>
    <t>7. A clean handkerchief (roll on the handkerchief table).</t>
  </si>
  <si>
    <t>8. A soiled handkerchief (roll on the handkerchief table).</t>
  </si>
  <si>
    <t>9. A score (roll on the score table).</t>
  </si>
  <si>
    <t>10. A score (roll on the score table) and roll again on this table using a d8.</t>
  </si>
  <si>
    <t>d6 The key is...</t>
  </si>
  <si>
    <t>1. A small brass key.</t>
  </si>
  <si>
    <t>2. A large brass key.</t>
  </si>
  <si>
    <t>3. A thin brass key.</t>
  </si>
  <si>
    <t>4. A heavy iron key.</t>
  </si>
  <si>
    <t>5. A spindly iron key.</t>
  </si>
  <si>
    <t>6. Made of an unusual material (d6): 1. bone; 2. bronze; 3. gold; 4. oak; 5. silver; 6. stone.</t>
  </si>
  <si>
    <t>d6 The handkerchief is...</t>
  </si>
  <si>
    <t>1. A fine silk handkerchief.</t>
  </si>
  <si>
    <t>2. A simple cotton handkerchief.</t>
  </si>
  <si>
    <t>3. A lacy handkerchief.</t>
  </si>
  <si>
    <t>4. A threadbare handkerchief.</t>
  </si>
  <si>
    <t>5. A striped handkerchief.</t>
  </si>
  <si>
    <t>6. A spotted handkerchief.</t>
  </si>
  <si>
    <t>d12 The thief scores...</t>
  </si>
  <si>
    <t>1. 2d4 cp.</t>
  </si>
  <si>
    <t>2. 3d6 cp.</t>
  </si>
  <si>
    <t>3. 1d6 sp.</t>
  </si>
  <si>
    <t>4. 1d6 sp plus 1d10 cp.</t>
  </si>
  <si>
    <t>5. 2d6 sp.</t>
  </si>
  <si>
    <t>6. 2d6 sp plus 1d10 cp.</t>
  </si>
  <si>
    <t>7. 1d4 gp.</t>
  </si>
  <si>
    <t>8. 1d4 gp plus 1d10 sp.</t>
  </si>
  <si>
    <t>9. 2d4 gp plus 1d10 sp.</t>
  </si>
  <si>
    <t>10. A gem or small piece of jewelery worth 5d10 gp.</t>
  </si>
  <si>
    <t>11. A gem or small piece of jewelery worth 10d10 gp.</t>
  </si>
  <si>
    <t>12. 1d6 gp and roll again on this table.</t>
  </si>
  <si>
    <t>Treasure Chests</t>
  </si>
  <si>
    <t>d12 The chest’s style is</t>
  </si>
  <si>
    <t>1. Crude</t>
  </si>
  <si>
    <t>2. Standard</t>
  </si>
  <si>
    <t>3. Fancy</t>
  </si>
  <si>
    <t>4. Elven</t>
  </si>
  <si>
    <t>5. Bejeweled</t>
  </si>
  <si>
    <t>6. Draconic</t>
  </si>
  <si>
    <t>7. Dwarven</t>
  </si>
  <si>
    <t>8. Pretty Princess</t>
  </si>
  <si>
    <t>9. Pirate</t>
  </si>
  <si>
    <t>10. Woven</t>
  </si>
  <si>
    <t>11. Creepy</t>
  </si>
  <si>
    <t>12. Heavy Duty</t>
  </si>
  <si>
    <t>d12 It's construction material is</t>
  </si>
  <si>
    <t>1. Old, rotting wood</t>
  </si>
  <si>
    <t>2. Sturdy oak</t>
  </si>
  <si>
    <t>3. Diamondwood</t>
  </si>
  <si>
    <t>4. Iron</t>
  </si>
  <si>
    <t>5. Steel</t>
  </si>
  <si>
    <t>6. Bone</t>
  </si>
  <si>
    <t>7. Obsidian</t>
  </si>
  <si>
    <t>8. Glass</t>
  </si>
  <si>
    <t>9. Ice</t>
  </si>
  <si>
    <t>10. Silver</t>
  </si>
  <si>
    <t>11. Gold</t>
  </si>
  <si>
    <t>12. Ebony</t>
  </si>
  <si>
    <t>d12 It has hinges and trim made from</t>
  </si>
  <si>
    <t>1. Iron</t>
  </si>
  <si>
    <t>2. Steel</t>
  </si>
  <si>
    <t>3. Brass</t>
  </si>
  <si>
    <t>4. Silver</t>
  </si>
  <si>
    <t>5. Gold</t>
  </si>
  <si>
    <t>6. Bronze</t>
  </si>
  <si>
    <t>7. Ebony</t>
  </si>
  <si>
    <t>8. Leather</t>
  </si>
  <si>
    <t>9. Wood</t>
  </si>
  <si>
    <t>10. Mithril</t>
  </si>
  <si>
    <t>11. Adamantite</t>
  </si>
  <si>
    <t>12. Dragon Leather</t>
  </si>
  <si>
    <t>d12 The chest's definitive marking is</t>
  </si>
  <si>
    <t>1. Artistic Scrollwork</t>
  </si>
  <si>
    <t>2. Tree Pattern</t>
  </si>
  <si>
    <t>3. Dwarven Runes</t>
  </si>
  <si>
    <t>4. Elvish Script</t>
  </si>
  <si>
    <t>5. Lion emblem</t>
  </si>
  <si>
    <t>6. Carving of a Dragon</t>
  </si>
  <si>
    <t>7. Decorative skull</t>
  </si>
  <si>
    <t>8. Glowing Crystals</t>
  </si>
  <si>
    <t>9. Mystic Sigils</t>
  </si>
  <si>
    <t>10. Staring Eyes</t>
  </si>
  <si>
    <t>11. Claw-like feet</t>
  </si>
  <si>
    <t>12. Bas-relief of a battle</t>
  </si>
  <si>
    <t>d12 Trap Used</t>
  </si>
  <si>
    <t>1. Poison Dart</t>
  </si>
  <si>
    <t>2. Arrow</t>
  </si>
  <si>
    <t>3. Small explosion</t>
  </si>
  <si>
    <t>4. Alarm</t>
  </si>
  <si>
    <t>5. Pit trap</t>
  </si>
  <si>
    <t>6. Boulder Trap</t>
  </si>
  <si>
    <t>7. Heavy Blade</t>
  </si>
  <si>
    <t>8. Spears</t>
  </si>
  <si>
    <t>9. Water fills room</t>
  </si>
  <si>
    <t>10. Sand fills room</t>
  </si>
  <si>
    <t>11. Poison gas</t>
  </si>
  <si>
    <t>12. Random Spell</t>
  </si>
  <si>
    <t>d6 Lock type</t>
  </si>
  <si>
    <t>1. Padlock</t>
  </si>
  <si>
    <t>2. Internal mechanism</t>
  </si>
  <si>
    <t>3. Combination</t>
  </si>
  <si>
    <t>4. Puzzle Lock</t>
  </si>
  <si>
    <t>5. Password</t>
  </si>
  <si>
    <t>6. Hidden lock mechanism</t>
  </si>
  <si>
    <t>d6 Key Location</t>
  </si>
  <si>
    <t>1. Hidden in same room</t>
  </si>
  <si>
    <t>2. Plain sight</t>
  </si>
  <si>
    <t>3. On guardian</t>
  </si>
  <si>
    <t>4. Another room</t>
  </si>
  <si>
    <t>5. Held by owner</t>
  </si>
  <si>
    <t>6. Lost</t>
  </si>
  <si>
    <t>Random Treasure Hunters</t>
  </si>
  <si>
    <t>d6 The treasure hunter is...</t>
  </si>
  <si>
    <t>2. A desperate thief.</t>
  </si>
  <si>
    <t>6. A student of history.</t>
  </si>
  <si>
    <t>d6 The treasure hunter has...</t>
  </si>
  <si>
    <t>2. A cute little button nose.</t>
  </si>
  <si>
    <t>3. A scar below the left eye.</t>
  </si>
  <si>
    <t>4. Pockmarked cheeks.</t>
  </si>
  <si>
    <t>5. High cheek bones.</t>
  </si>
  <si>
    <t>6. A pointy chin.</t>
  </si>
  <si>
    <t>d6 The treasure hunter...</t>
  </si>
  <si>
    <t>d12 The treasure hunter wears...</t>
  </si>
  <si>
    <t>5. A heavy gold chain.</t>
  </si>
  <si>
    <t>7. A tattoo on the forearm (d6): 1. dagger; 2. dragon; 3. nude figure; 4. skull; 5. snake; 6. thorns.</t>
  </si>
  <si>
    <t>10. A handkerchief in his breast pocket.</t>
  </si>
  <si>
    <t>d8 The treasure hunter carries...</t>
  </si>
  <si>
    <t>d6 The treasure hunter is looking for...</t>
  </si>
  <si>
    <t>1. Rumors of treasure hoards.</t>
  </si>
  <si>
    <t>2. The location of an ancient crypt or ruin.</t>
  </si>
  <si>
    <t>3. A pair of strong arms to haul some gold.</t>
  </si>
  <si>
    <t>4. Proof of an ancient fable.</t>
  </si>
  <si>
    <t>5. Evidence to disprove a sacred text.</t>
  </si>
  <si>
    <t>6. An ear to listen to some boasting.</t>
  </si>
  <si>
    <t>Random Tombs: Who Goes There?...</t>
  </si>
  <si>
    <t>d20 This tomb was built for...</t>
  </si>
  <si>
    <t>1. An ancient king.</t>
  </si>
  <si>
    <t>2. An ancient queen.</t>
  </si>
  <si>
    <t>3. An ancient high priest or priestess.</t>
  </si>
  <si>
    <t>4. An ancient sorcerer.</t>
  </si>
  <si>
    <t>5. A mighty warrior.</t>
  </si>
  <si>
    <t>6. A terrible villain.</t>
  </si>
  <si>
    <t>7. A legendary adventurer.</t>
  </si>
  <si>
    <t>9. An unscrupulous king or queen.</t>
  </si>
  <si>
    <t>10. A vain mayor or townmaster.</t>
  </si>
  <si>
    <t>11. A powerful military commander or warlord.</t>
  </si>
  <si>
    <t>12. A powerful witch or wizard.</t>
  </si>
  <si>
    <t>13. A powerful priest or priestess.</t>
  </si>
  <si>
    <t>14. A beloved sovereign.</t>
  </si>
  <si>
    <t>15. A wealthy merchant.</t>
  </si>
  <si>
    <t>16. A member of a noble house.</t>
  </si>
  <si>
    <t>17. A member of the royal family.</t>
  </si>
  <si>
    <t>18. The wife of a wealthy person or ruler.</t>
  </si>
  <si>
    <t>19. The mother of a wealthy person or ruler.</t>
  </si>
  <si>
    <t>20. The child of a wealthy person or ruler.</t>
  </si>
  <si>
    <t>d12 The tomb’s entrance is...</t>
  </si>
  <si>
    <t>1. Yawning open, letting much daylight into the entry chamber.</t>
  </si>
  <si>
    <t>2. Behind a huge pair of metal doors (d4): 1. brass; 2. bronze; 3. gold; 4. iron.</t>
  </si>
  <si>
    <t>3. Beneath a stone slab.</t>
  </si>
  <si>
    <t>4. A simple wooden door framed in stone.</t>
  </si>
  <si>
    <t>5. A heavy wooden door framed in stone.</t>
  </si>
  <si>
    <t>6. Behind a heavy stone door.</t>
  </si>
  <si>
    <t>7. Beneath a gnarled, old tree.</t>
  </si>
  <si>
    <t>8. Beneath an obelisk or similar monument.</t>
  </si>
  <si>
    <t>9. Beneath a large statue.</t>
  </si>
  <si>
    <t>10. Hidden by the terrain (d4): 1. boulders; 2. waterfall; 3. rocky overhang; 4. hillock.</t>
  </si>
  <si>
    <t>11. Hidden by vegetation (d4): 1. a briar patch; 2. a curtain of moss; 3. enormous tree roots; 4. overgrown vines.</t>
  </si>
  <si>
    <t>12. Difficult to access (d4): 1. up or down a cliff face; 2. down a deep hole; 3. in an underwater tunnel; 4. through an illusory rock or wall.</t>
  </si>
  <si>
    <t>d10 The tomb’s entrance is guarded by...</t>
  </si>
  <si>
    <t>3. Large, frightening statues of beasts (d8): 1. bats; 2. bears; 3. dragons; 4. eagles; 5. lions; 6. ravens; 7. snakes; 8. wolves.</t>
  </si>
  <si>
    <t>6. Several crumbling statues.</t>
  </si>
  <si>
    <t>7. Skeletal warriors.</t>
  </si>
  <si>
    <t>8. An unsettling arrangement of bones.</t>
  </si>
  <si>
    <t>9. A band of outlaws who are carefully delving its secrets.</t>
  </si>
  <si>
    <t>10. Nothing; the tomb is rather homey and welcoming.</t>
  </si>
  <si>
    <t>d6 The tomb’s grand crypt is located...</t>
  </si>
  <si>
    <t>1. Just beyond a heavy door in the entry chamber.</t>
  </si>
  <si>
    <t>2. Down a steep set of spiraling stairs from the entry chamber.</t>
  </si>
  <si>
    <t>3. At the end of a long passageway lined with lesser crypts.</t>
  </si>
  <si>
    <t>4. At the end of a long passage lined with statues.</t>
  </si>
  <si>
    <t>5. At the end of a long passageway lined with passageways leading to lesser crypts.</t>
  </si>
  <si>
    <t>6. Several levels below the entry chamber.</t>
  </si>
  <si>
    <t>d8 The tomb’s layout is...</t>
  </si>
  <si>
    <t>1. Simple; a large grand crypt with a handful of smaller crypts and rooms adjoining.</t>
  </si>
  <si>
    <t>2. Simple with a large entry chamber; the entry chamber leads off to smaller crypts and other rooms.</t>
  </si>
  <si>
    <t>3. Multi-layered; access to the lower layers is easy to find.</t>
  </si>
  <si>
    <t>4. Multi-layered; access to the lower layers is difficult to find.</t>
  </si>
  <si>
    <t>5. Multi-winged; access to some wings is difficult to find.</t>
  </si>
  <si>
    <t>6. A series of rooms arranged in a concentric fashion; the grand crypt is located among the inner rooms.</t>
  </si>
  <si>
    <t>7. Labyrinthine; designed to deliberately confuse intruders.</t>
  </si>
  <si>
    <t>8. Simple with an intricate complex hidden beneath the grand crypt.</t>
  </si>
  <si>
    <t>d8 Many of the tomb's interior walls are...</t>
  </si>
  <si>
    <t>7. Decorated with bones and icons of death.</t>
  </si>
  <si>
    <t>d6 Many of the tomb’s ceilings are...</t>
  </si>
  <si>
    <t>2. Stone, smooth as glass.</t>
  </si>
  <si>
    <t>3. Stone, rough and jagged.</t>
  </si>
  <si>
    <t>4. Connected to the floor by columns.</t>
  </si>
  <si>
    <t>5. Painted or carved with iconic scenes.</t>
  </si>
  <si>
    <t>6. Crossed by wooden beams.</t>
  </si>
  <si>
    <t>1. An antechamber to a crypt or chapel.</t>
  </si>
  <si>
    <t>2. A chapel dedicated to protecting the souls of the deceased.</t>
  </si>
  <si>
    <t>3. A chapel dedicated to aiding the journey of the souls of the deceased.</t>
  </si>
  <si>
    <t>4. A grand crypt for a person of importance (d4): 1. well-known hero; 2. high priest; 3. powerful noble; 4. wealthy merchant.</t>
  </si>
  <si>
    <t>5. A false crypt to attract and to trap graverobbers and treasure hunters.</t>
  </si>
  <si>
    <t>6. A crypt for immediate family members.</t>
  </si>
  <si>
    <t>7. A crypt for previous generations of the family.</t>
  </si>
  <si>
    <t>8. A crypt for the spouse of the deceased.</t>
  </si>
  <si>
    <t>9. A crypt of unmarked graves.</t>
  </si>
  <si>
    <t>10. A reflecting pool or fountain.</t>
  </si>
  <si>
    <t>11. A crypt for devoted servants or slaves.</t>
  </si>
  <si>
    <t>12. A room dedicated for specific rituals (d3): 1. divinations; 2. funerals; 3. necromancy.</t>
  </si>
  <si>
    <t>13. Gallery dedicated to the deceased (d3): 1. trophies; 2. statues; 3. paintings.</t>
  </si>
  <si>
    <t>14. A guardroom with guards (d6): 1. ghosts; 2. golems; 3. knights; 4. sellswords; 5. cultists; 6. skeletons; 5. wights; 6. zombies.</t>
  </si>
  <si>
    <t>15. A priest’s robing room.</t>
  </si>
  <si>
    <t>16. Storage room for embalming tools.</t>
  </si>
  <si>
    <t>17. Storage room for tools and materials to maintain the tomb.</t>
  </si>
  <si>
    <t>18. Workshop for embalming the dead.</t>
  </si>
  <si>
    <t>19. A crypt hidden by a secret door where the most important person in the tomb rests.</t>
  </si>
  <si>
    <t>20. A priest’s quarters or robing room.</t>
  </si>
  <si>
    <t>2. A plaque listing a family lineage.</t>
  </si>
  <si>
    <t>3. A plaque noting birth and death dates.</t>
  </si>
  <si>
    <t>4. A wall sconce holding several candles.</t>
  </si>
  <si>
    <t>5. An empty wall sconce for holding a torch.</t>
  </si>
  <si>
    <t>6. A rotten, earthy stench.</t>
  </si>
  <si>
    <t>7. A musty, moldy odor.</t>
  </si>
  <si>
    <t>8. The scent of decaying flesh.</t>
  </si>
  <si>
    <t>9. A mural depicting a mythological scene.</t>
  </si>
  <si>
    <t>10. A small fountain or reflecting pool.</t>
  </si>
  <si>
    <t>11. A huge book of sacred texts or prayers.</t>
  </si>
  <si>
    <t>12. An ornate oil lamp.</t>
  </si>
  <si>
    <t>13. A mosaic set into the floor of the room.</t>
  </si>
  <si>
    <t>14. A wide fresco or mural depicting a mythological or historical scene.</t>
  </si>
  <si>
    <t>15. A gilded sarcophagus.</t>
  </si>
  <si>
    <t>16. A simple stone sarcophagus.</t>
  </si>
  <si>
    <t>17. A finely-crafted, heavy wooden coffin.</t>
  </si>
  <si>
    <t>18. A simple, sturdy wooden coffin.</t>
  </si>
  <si>
    <t>19. A stone coffin marked with dates.</t>
  </si>
  <si>
    <t>20. An empty coffin.</t>
  </si>
  <si>
    <t>d6 The tomb is rumored to...</t>
  </si>
  <si>
    <t>1. Hold tremendous treasure.</t>
  </si>
  <si>
    <t>2. Be heavily trapped to guard against intruders.</t>
  </si>
  <si>
    <t>3. Hold a legendary weapon or artifact.</t>
  </si>
  <si>
    <t>4. Bestow a powerful curse on intruders.</t>
  </si>
  <si>
    <t>5. House the remains of someone whose body is widely believed to have been lost.</t>
  </si>
  <si>
    <t>6. Have already been cleared of monsters and gold by treasure hunters.</t>
  </si>
  <si>
    <t>UNDEAD DENIZENS</t>
  </si>
  <si>
    <t>d20 What haunts this tomb?</t>
  </si>
  <si>
    <t>1. A swarm of crawling claws.</t>
  </si>
  <si>
    <t>2. A covetous wight.</t>
  </si>
  <si>
    <t>3. An ancient demilich.</t>
  </si>
  <si>
    <t>4. Malevolent ghosts.</t>
  </si>
  <si>
    <t>5. Zombie warriors.</t>
  </si>
  <si>
    <t>6. A skeletal hound.</t>
  </si>
  <si>
    <t>7. A newly-made vampire.</t>
  </si>
  <si>
    <t>8. An ancient vampire.</t>
  </si>
  <si>
    <t>9. A huge, animated pile of bones.</t>
  </si>
  <si>
    <t>10. Twisted humanoid skeletons.</t>
  </si>
  <si>
    <t>11. A zombie made from a fallen adventurer.</t>
  </si>
  <si>
    <t>12. A hateful mummy.</t>
  </si>
  <si>
    <t>13. Skeletal guardians.</t>
  </si>
  <si>
    <t>14. Phantom soldiers.</t>
  </si>
  <si>
    <t>15. The ghost of a fair maiden.</t>
  </si>
  <si>
    <t>16. Hungry ghouls.</t>
  </si>
  <si>
    <t>17. A mad wraith.</t>
  </si>
  <si>
    <t>18. A playful ghost.</t>
  </si>
  <si>
    <t>19. A treacherous spellcaster-turned-lich.</t>
  </si>
  <si>
    <t>20. A vengeful death knight.</t>
  </si>
  <si>
    <t>LIVING DENIZENS</t>
  </si>
  <si>
    <t>d12 Denizens: What lives in the tomb now?</t>
  </si>
  <si>
    <t>1. Carrion crawler.</t>
  </si>
  <si>
    <t>2. Cloaker.</t>
  </si>
  <si>
    <t>3. Darkmantle.</t>
  </si>
  <si>
    <t>4. Fungi.</t>
  </si>
  <si>
    <t>5. Mimics.</t>
  </si>
  <si>
    <t>6. Myconids.</t>
  </si>
  <si>
    <t>7. Ooze.</t>
  </si>
  <si>
    <t>8. Otyugh.</t>
  </si>
  <si>
    <t>9. Piercer</t>
  </si>
  <si>
    <t>10. Roper.</t>
  </si>
  <si>
    <t>11. Stirges.</t>
  </si>
  <si>
    <t>12. Umber hulk.</t>
  </si>
  <si>
    <t>d8 Visitors: Who has entered the tomb of late?</t>
  </si>
  <si>
    <t>1. A devoted old priest or priestess.</t>
  </si>
  <si>
    <t>2. A curious young priest or priestess.</t>
  </si>
  <si>
    <t>3. A traveler or scholar from afar.</t>
  </si>
  <si>
    <t>4. A member of the deceased’s family.</t>
  </si>
  <si>
    <t>5. A greedy treasure hunter.</t>
  </si>
  <si>
    <t>6. A student of necromancy.</t>
  </si>
  <si>
    <t>7. A fugitive serial killer.</t>
  </si>
  <si>
    <t>8. A brave but foolish adventurer.</t>
  </si>
  <si>
    <t>Random Graverobbers</t>
  </si>
  <si>
    <t>d10 The graverobber is...</t>
  </si>
  <si>
    <t>1. A veteran treasure hunter.</t>
  </si>
  <si>
    <t>4. A well-known criminal.</t>
  </si>
  <si>
    <t>6. A student of anatomy.</t>
  </si>
  <si>
    <t>7. An out-of-work artisan.</t>
  </si>
  <si>
    <t>8. A displaced peasant.</t>
  </si>
  <si>
    <t>9. A combat veteran.</t>
  </si>
  <si>
    <t>10. A foreign refugee.</t>
  </si>
  <si>
    <t>d10 The graverobber has...</t>
  </si>
  <si>
    <t>3. A broad, flat nose.</t>
  </si>
  <si>
    <t>5. Piercing blue eyes.</t>
  </si>
  <si>
    <t>6. Pockmarked cheeks.</t>
  </si>
  <si>
    <t>8. Several missing teeth.</t>
  </si>
  <si>
    <t>9. A jagged scar above one eye.</t>
  </si>
  <si>
    <t>10. Extremely bushy eyebrows.</t>
  </si>
  <si>
    <t>d12 The graverobber wears...</t>
  </si>
  <si>
    <t>2. A dark grey cape.</t>
  </si>
  <si>
    <t>3. Filthy leather boots.</t>
  </si>
  <si>
    <t>5. A heavy gold belt buckle.</t>
  </si>
  <si>
    <t>12. Unruly mustaches.</t>
  </si>
  <si>
    <t>d6 The graverobber...</t>
  </si>
  <si>
    <t>1. Hums or sings while digging.</t>
  </si>
  <si>
    <t>5. Spits constantly.</t>
  </si>
  <si>
    <t>6. Scratches the elbow frequently.</t>
  </si>
  <si>
    <t>7. Picks at his or her teeth after meals.</t>
  </si>
  <si>
    <t>8. Is fond of placing corpses in rude poses.</t>
  </si>
  <si>
    <t>d10 The graverobber carries...</t>
  </si>
  <si>
    <t>1. A sturdy shovel and a dirty handkerchief.</t>
  </si>
  <si>
    <t>2. A blunt pick-ax and several torches.</t>
  </si>
  <si>
    <t>3. A narrow shovel and a length of hempen rope.</t>
  </si>
  <si>
    <t>4. A new steel shovel and a length of silk rope.</t>
  </si>
  <si>
    <t>5. Several over-sized sacks.</t>
  </si>
  <si>
    <t>6. A sap and a large sack.</t>
  </si>
  <si>
    <t>7. An ornately crafted lantern.</t>
  </si>
  <si>
    <t>8. A simple lantern and a dagger.</t>
  </si>
  <si>
    <t>9. A pocketbook of notes on gravesites.</t>
  </si>
  <si>
    <t>10. A dagger and a crossbow.</t>
  </si>
  <si>
    <t>d8 The graverobber is looking for...</t>
  </si>
  <si>
    <t>1. A fresh grave.</t>
  </si>
  <si>
    <t>2. The entrance to an ancient crypt.</t>
  </si>
  <si>
    <t>3. A pair of strong arms to help dig.</t>
  </si>
  <si>
    <t>4. Tales of recently deceased members of the nobility.</t>
  </si>
  <si>
    <t>5. The location of the ruling family's personal cemetery.</t>
  </si>
  <si>
    <t>6. A pair of strong arms to move dirt.</t>
  </si>
  <si>
    <t>8. A drink and a break from digging.</t>
  </si>
  <si>
    <t>Traps</t>
  </si>
  <si>
    <t>d10 Roll Mechanical Source</t>
  </si>
  <si>
    <t>d10 Roll Mechanical Triggered</t>
  </si>
  <si>
    <t>d10 Roll Mechanical Trap</t>
  </si>
  <si>
    <t>d10 Roll Arcane Source</t>
  </si>
  <si>
    <t>d10 Roll Arcane Triggered</t>
  </si>
  <si>
    <t>d10 Roll Arcane Trap</t>
  </si>
  <si>
    <t>d10 Roll Indirect Trap</t>
  </si>
  <si>
    <t>d10 Roll Optional Fun</t>
  </si>
  <si>
    <t>5. Iron.</t>
  </si>
  <si>
    <t>1–10</t>
  </si>
  <si>
    <t xml:space="preserve">11–14 </t>
  </si>
  <si>
    <t xml:space="preserve">15–16 </t>
  </si>
  <si>
    <t>Результат</t>
  </si>
  <si>
    <t>Гармония</t>
  </si>
  <si>
    <t>Напряжение или вражда</t>
  </si>
  <si>
    <t>Расовое большинство — завоеватели</t>
  </si>
  <si>
    <t>Расовое меньшинство — правители</t>
  </si>
  <si>
    <t>Расовое меньшинство — беженцы</t>
  </si>
  <si>
    <t>Расовое большинство притесняет меньшинство</t>
  </si>
  <si>
    <t>Расовое меньшинство притесняет большинство</t>
  </si>
  <si>
    <t>Правитель</t>
  </si>
  <si>
    <t>17–18</t>
  </si>
  <si>
    <t>Пугающий тиран</t>
  </si>
  <si>
    <t>Слабак, марионетка в чьих-то руках</t>
  </si>
  <si>
    <t>Незаконный правитель, назревает гражданская война</t>
  </si>
  <si>
    <t>Поселение управляется или контролируется мощным чудовищем</t>
  </si>
  <si>
    <t>Таинственная анонимная кабала</t>
  </si>
  <si>
    <t>Идёт открытая борьба за власть</t>
  </si>
  <si>
    <t>Кабала открыто захватила власть</t>
  </si>
  <si>
    <t>Придурковатый недотёпа</t>
  </si>
  <si>
    <t>Умирающий, претенденты соревнуются за власть</t>
  </si>
  <si>
    <t>Волевой, но всеми уважаемый</t>
  </si>
  <si>
    <t>Религиозный лидер</t>
  </si>
  <si>
    <t>Достопримечательность</t>
  </si>
  <si>
    <t>Каналы вместо улиц</t>
  </si>
  <si>
    <t>Массивная статуя или монумент</t>
  </si>
  <si>
    <t>Верховный храм</t>
  </si>
  <si>
    <t>Большая крепость</t>
  </si>
  <si>
    <t>Цветущие парки и сады</t>
  </si>
  <si>
    <t>Город разделён рекой</t>
  </si>
  <si>
    <t>Главный торговый центр</t>
  </si>
  <si>
    <t>Штаб-квартира влиятельной семьи или гильдии</t>
  </si>
  <si>
    <t>Много богатых</t>
  </si>
  <si>
    <t>Много бедняков</t>
  </si>
  <si>
    <t>Дурной запах (кожевенный завод, открытая канализация)</t>
  </si>
  <si>
    <t>Центр торговли специфичным товаром</t>
  </si>
  <si>
    <t>Место многочисленных сражений</t>
  </si>
  <si>
    <t>Место мистического или магического события</t>
  </si>
  <si>
    <t>Важная библиотека или архив</t>
  </si>
  <si>
    <t>Запрещено поклоняться всем богам</t>
  </si>
  <si>
    <t>Зловещая репутация</t>
  </si>
  <si>
    <t>Значительная библиотека или академия</t>
  </si>
  <si>
    <t>Важный склеп или кладбище</t>
  </si>
  <si>
    <t>Поселение построено на древних руинах</t>
  </si>
  <si>
    <t>Особенность</t>
  </si>
  <si>
    <t>Образованием</t>
  </si>
  <si>
    <t>Великим героем/спасителем</t>
  </si>
  <si>
    <t>Политическими интригами</t>
  </si>
  <si>
    <t>Крепкими напитками</t>
  </si>
  <si>
    <t>Тёмной магией</t>
  </si>
  <si>
    <t>Патриотизмом</t>
  </si>
  <si>
    <t>Декадентством</t>
  </si>
  <si>
    <t xml:space="preserve">к20 </t>
  </si>
  <si>
    <t>8–9</t>
  </si>
  <si>
    <t>Несчастье</t>
  </si>
  <si>
    <t>Подозревается нашествие вампиров</t>
  </si>
  <si>
    <t>Новый культ ищет последователей</t>
  </si>
  <si>
    <t>Умерла важная персона (подозревается убийство)</t>
  </si>
  <si>
    <t>Война между враждующими гильдиями воров</t>
  </si>
  <si>
    <t>Продажные власти</t>
  </si>
  <si>
    <t>Нападения чудовищ</t>
  </si>
  <si>
    <t>В городе появился мощный волшебник</t>
  </si>
  <si>
    <t>Экономика в депрессии (торговля подорвана)</t>
  </si>
  <si>
    <t>Наводнение</t>
  </si>
  <si>
    <t>На кладбище оживает нежить</t>
  </si>
  <si>
    <t>Роковое пророчество</t>
  </si>
  <si>
    <t>Назревает война</t>
  </si>
  <si>
    <t>Внутренняя вражда (ведёт к анархии)</t>
  </si>
  <si>
    <t>Осаждён врагами</t>
  </si>
  <si>
    <t>Влиятельным семьям угрожает скандал</t>
  </si>
  <si>
    <t>Обнаружено подземелье (в город стекаются искатели приключений)</t>
  </si>
  <si>
    <t xml:space="preserve">11–12 </t>
  </si>
  <si>
    <t xml:space="preserve">13–15 </t>
  </si>
  <si>
    <t xml:space="preserve">16–17 </t>
  </si>
  <si>
    <t>18–20</t>
  </si>
  <si>
    <t>1–2</t>
  </si>
  <si>
    <t xml:space="preserve">3–8 </t>
  </si>
  <si>
    <t xml:space="preserve">11–15 </t>
  </si>
  <si>
    <t>Заброшенный дом</t>
  </si>
  <si>
    <t>Дом среднего класса</t>
  </si>
  <si>
    <t>Дом богачей</t>
  </si>
  <si>
    <t>Переполненный многоквартирный дом</t>
  </si>
  <si>
    <t>Детский приют</t>
  </si>
  <si>
    <t>Тайное логово работорговцев</t>
  </si>
  <si>
    <t>Прикрытие тайного культа</t>
  </si>
  <si>
    <t>Роскошный, охраняемый особняк</t>
  </si>
  <si>
    <t>Трапезная высшего общества</t>
  </si>
  <si>
    <t>Игровой салон</t>
  </si>
  <si>
    <t>Заведение определённой расы или гильдии</t>
  </si>
  <si>
    <t>Тип</t>
  </si>
  <si>
    <t>Место сбора тайного общества</t>
  </si>
  <si>
    <t>НАЗВАНИЕ ТАВЕРНЫ</t>
  </si>
  <si>
    <t>11–12</t>
  </si>
  <si>
    <t>Храм доброго или нейтрального божества</t>
  </si>
  <si>
    <t>Храм ложного божества (возглавляется шарлатаном)</t>
  </si>
  <si>
    <t>Дом аскетов</t>
  </si>
  <si>
    <t>Библиотека религиозного учения</t>
  </si>
  <si>
    <t>Скрытое святилище исчадья или злого божества</t>
  </si>
  <si>
    <t>Заброшенное святилище</t>
  </si>
  <si>
    <t>1–4</t>
  </si>
  <si>
    <t>5–6</t>
  </si>
  <si>
    <t>7–10</t>
  </si>
  <si>
    <t>11–14</t>
  </si>
  <si>
    <t>18–19</t>
  </si>
  <si>
    <t>Пустой или заброшенный</t>
  </si>
  <si>
    <t>Хорошо охраняющийся, дорогие товары</t>
  </si>
  <si>
    <t>Дешёвые товары</t>
  </si>
  <si>
    <t>Животные</t>
  </si>
  <si>
    <t>Оружие/доспехи</t>
  </si>
  <si>
    <t>Товары с далёких земель</t>
  </si>
  <si>
    <t>Тайное логово контрабандистов</t>
  </si>
  <si>
    <t>Громоздкие товары</t>
  </si>
  <si>
    <t>Ломбард</t>
  </si>
  <si>
    <t xml:space="preserve">Травы/благовония </t>
  </si>
  <si>
    <t xml:space="preserve">Фрукты/овощи </t>
  </si>
  <si>
    <t xml:space="preserve">Сушёное мясо </t>
  </si>
  <si>
    <t xml:space="preserve">Гончар </t>
  </si>
  <si>
    <t xml:space="preserve">Гробовщик </t>
  </si>
  <si>
    <t xml:space="preserve">Книги </t>
  </si>
  <si>
    <t xml:space="preserve">Ростовщик </t>
  </si>
  <si>
    <t xml:space="preserve">Оружие/доспехи </t>
  </si>
  <si>
    <t xml:space="preserve">Лавочник </t>
  </si>
  <si>
    <t xml:space="preserve"> Кузница</t>
  </si>
  <si>
    <t>Столяр</t>
  </si>
  <si>
    <t>Ткач</t>
  </si>
  <si>
    <t>Ювелир</t>
  </si>
  <si>
    <t>Пекарь</t>
  </si>
  <si>
    <t>Картограф</t>
  </si>
  <si>
    <t>Портной</t>
  </si>
  <si>
    <t>Канатчик</t>
  </si>
  <si>
    <t>Каменщик</t>
  </si>
  <si>
    <t>Писец</t>
  </si>
  <si>
    <t xml:space="preserve"> A coastal harbor</t>
  </si>
  <si>
    <t xml:space="preserve"> A calm, coastal bay</t>
  </si>
  <si>
    <t xml:space="preserve"> A large freshwater lake</t>
  </si>
  <si>
    <t xml:space="preserve"> A wide, navigable river</t>
  </si>
  <si>
    <t xml:space="preserve"> A river navigable by small craft</t>
  </si>
  <si>
    <t xml:space="preserve"> The mouth of a river or a river delta</t>
  </si>
  <si>
    <t xml:space="preserve"> The confluence of two rivers</t>
  </si>
  <si>
    <t xml:space="preserve"> A series of natural springs</t>
  </si>
  <si>
    <t xml:space="preserve"> A well-traveled crossroads</t>
  </si>
  <si>
    <t xml:space="preserve"> A water source and a well-traveled road</t>
  </si>
  <si>
    <t xml:space="preserve"> Iron ore</t>
  </si>
  <si>
    <t xml:space="preserve"> Copper ore</t>
  </si>
  <si>
    <t xml:space="preserve"> Hardwood lumber</t>
  </si>
  <si>
    <t xml:space="preserve"> Barley and oats</t>
  </si>
  <si>
    <t xml:space="preserve"> Beans and corn</t>
  </si>
  <si>
    <t xml:space="preserve"> Nuts and olives</t>
  </si>
  <si>
    <t xml:space="preserve"> Potatoes and leeks</t>
  </si>
  <si>
    <t xml:space="preserve"> Sugar cane</t>
  </si>
  <si>
    <t xml:space="preserve"> Tobacco</t>
  </si>
  <si>
    <t xml:space="preserve"> Cotton</t>
  </si>
  <si>
    <t xml:space="preserve"> Fruit trees</t>
  </si>
  <si>
    <t xml:space="preserve"> Cabbages and beets</t>
  </si>
  <si>
    <t xml:space="preserve"> Cattle</t>
  </si>
  <si>
    <t xml:space="preserve"> Dairy cows</t>
  </si>
  <si>
    <t xml:space="preserve"> Sheep</t>
  </si>
  <si>
    <t xml:space="preserve"> Architectural style</t>
  </si>
  <si>
    <t xml:space="preserve"> Architectural feats</t>
  </si>
  <si>
    <t xml:space="preserve"> Traditional cuisine</t>
  </si>
  <si>
    <t xml:space="preserve"> Suggestive dancing</t>
  </si>
  <si>
    <t xml:space="preserve"> Gladiatorial games</t>
  </si>
  <si>
    <t xml:space="preserve"> Horse races</t>
  </si>
  <si>
    <t xml:space="preserve"> Music and/or dance</t>
  </si>
  <si>
    <t xml:space="preserve"> Jousting games</t>
  </si>
  <si>
    <t xml:space="preserve"> Street festivals</t>
  </si>
  <si>
    <t xml:space="preserve"> Religious feasts</t>
  </si>
  <si>
    <t xml:space="preserve"> Traditional dress</t>
  </si>
  <si>
    <t xml:space="preserve"> Theater scene</t>
  </si>
  <si>
    <t xml:space="preserve"> The head of a noble family</t>
  </si>
  <si>
    <t xml:space="preserve"> A council of distinguished nobles</t>
  </si>
  <si>
    <t xml:space="preserve"> A council of wealthy merchants</t>
  </si>
  <si>
    <t xml:space="preserve"> A council of elected officials</t>
  </si>
  <si>
    <t xml:space="preserve"> An elected mayor</t>
  </si>
  <si>
    <t xml:space="preserve"> A benevolent sovereign</t>
  </si>
  <si>
    <t xml:space="preserve"> Mass conversions</t>
  </si>
  <si>
    <t xml:space="preserve"> An earthquake</t>
  </si>
  <si>
    <t xml:space="preserve"> A legendary storm</t>
  </si>
  <si>
    <t xml:space="preserve"> A destructive fire</t>
  </si>
  <si>
    <t xml:space="preserve"> A foreign occupation</t>
  </si>
  <si>
    <t xml:space="preserve"> An economic boom</t>
  </si>
  <si>
    <t xml:space="preserve"> A dragon attack</t>
  </si>
  <si>
    <t xml:space="preserve"> Bandits and outlaws</t>
  </si>
  <si>
    <t xml:space="preserve"> Barbarian invasions</t>
  </si>
  <si>
    <t xml:space="preserve"> Disease outbreaks</t>
  </si>
  <si>
    <t xml:space="preserve"> A dragon or legendary beast</t>
  </si>
  <si>
    <t xml:space="preserve"> Destructive flooding</t>
  </si>
  <si>
    <t xml:space="preserve"> Food shortages</t>
  </si>
  <si>
    <t xml:space="preserve"> Occupation by a foreign empire</t>
  </si>
  <si>
    <t xml:space="preserve"> The wrath of a vengeful god</t>
  </si>
  <si>
    <t xml:space="preserve"> Magic and new inventions</t>
  </si>
  <si>
    <t xml:space="preserve"> Pirates, smugglers, and bands of thieves</t>
  </si>
  <si>
    <t xml:space="preserve"> A recently established religion</t>
  </si>
  <si>
    <t xml:space="preserve"> A rival city</t>
  </si>
  <si>
    <t xml:space="preserve"> A disciplined military guard</t>
  </si>
  <si>
    <t xml:space="preserve"> A standing army of devoted soldiers</t>
  </si>
  <si>
    <t xml:space="preserve"> A company of sellswords and knaves</t>
  </si>
  <si>
    <t xml:space="preserve"> An order of holy knights</t>
  </si>
  <si>
    <t xml:space="preserve"> Little; the city’s been sacked many times</t>
  </si>
  <si>
    <t xml:space="preserve"> A huge, fortress or citadel within the city</t>
  </si>
  <si>
    <t xml:space="preserve"> A series of watchtowers and forts spread throughout the region</t>
  </si>
  <si>
    <t xml:space="preserve"> Thick stone walls and impenetrable gates</t>
  </si>
  <si>
    <t xml:space="preserve"> High stone walls, catapults, and scorpions</t>
  </si>
  <si>
    <t xml:space="preserve"> A powerful magical ward or gigantic golem</t>
  </si>
  <si>
    <t xml:space="preserve"> Enforced by a strict, orderly city watch</t>
  </si>
  <si>
    <t xml:space="preserve"> Enforced by a corrupt, roguish city watch</t>
  </si>
  <si>
    <t xml:space="preserve"> Not enforced among the wealthy elite</t>
  </si>
  <si>
    <t xml:space="preserve"> Enforced in a haphazard fashion, incomprehensible to visitors</t>
  </si>
  <si>
    <t xml:space="preserve"> Not enforced for those who pay bribes</t>
  </si>
  <si>
    <t xml:space="preserve"> More like guidelines</t>
  </si>
  <si>
    <t xml:space="preserve"> Enforced by a secret society of assassins, mages, or priests</t>
  </si>
  <si>
    <t xml:space="preserve"> Enforced by a company of mercenaries</t>
  </si>
  <si>
    <t xml:space="preserve"> Simple, easy to learn and to follow</t>
  </si>
  <si>
    <t xml:space="preserve"> Extensive and complicated, nonsensical</t>
  </si>
  <si>
    <t xml:space="preserve"> Enforced by a cheerful drunken sheriff</t>
  </si>
  <si>
    <t xml:space="preserve"> Enforced by a rigid soldier-turned-sheriff</t>
  </si>
  <si>
    <t xml:space="preserve"> A ruthless assassins’ guild</t>
  </si>
  <si>
    <t xml:space="preserve"> A populist demagogue</t>
  </si>
  <si>
    <t xml:space="preserve"> The captain of a mercenary company</t>
  </si>
  <si>
    <t xml:space="preserve"> A champion knight or arena fighter</t>
  </si>
  <si>
    <t xml:space="preserve"> One or more crafting guilds</t>
  </si>
  <si>
    <t xml:space="preserve"> A dangerous crime boss</t>
  </si>
  <si>
    <t xml:space="preserve"> One or more criminal gangs</t>
  </si>
  <si>
    <t xml:space="preserve"> A charismatic cult leader</t>
  </si>
  <si>
    <t xml:space="preserve"> One or more merchant guilds</t>
  </si>
  <si>
    <t xml:space="preserve"> A scheming noble lord or lady</t>
  </si>
  <si>
    <t xml:space="preserve"> An outspoken philosopher or scholar</t>
  </si>
  <si>
    <t xml:space="preserve"> A celebrated poet and playwright</t>
  </si>
  <si>
    <t xml:space="preserve"> A popular priest or priestess</t>
  </si>
  <si>
    <t xml:space="preserve"> A secret society of lorekeepers</t>
  </si>
  <si>
    <t xml:space="preserve"> Smugglers and black market dealers</t>
  </si>
  <si>
    <t xml:space="preserve"> The son or daughter of a deposed ruler</t>
  </si>
  <si>
    <t xml:space="preserve"> A wealthy trader of exotic goods</t>
  </si>
  <si>
    <t xml:space="preserve"> A conniving vampire or fiend</t>
  </si>
  <si>
    <t xml:space="preserve"> A bold war hero</t>
  </si>
  <si>
    <t xml:space="preserve"> A clever witch or wizard</t>
  </si>
  <si>
    <t xml:space="preserve"> Academy or university</t>
  </si>
  <si>
    <t xml:space="preserve"> Ancient ruin</t>
  </si>
  <si>
    <t xml:space="preserve"> Arena</t>
  </si>
  <si>
    <t xml:space="preserve"> Cemetery</t>
  </si>
  <si>
    <t xml:space="preserve"> Civic hall, council hall, or guild hall</t>
  </si>
  <si>
    <t xml:space="preserve"> Common or greenway</t>
  </si>
  <si>
    <t xml:space="preserve"> Gateway or arch</t>
  </si>
  <si>
    <t xml:space="preserve"> Library</t>
  </si>
  <si>
    <t xml:space="preserve"> Marketplace</t>
  </si>
  <si>
    <t xml:space="preserve"> botanical garden</t>
  </si>
  <si>
    <t xml:space="preserve"> wall</t>
  </si>
  <si>
    <t xml:space="preserve"> Palace</t>
  </si>
  <si>
    <t xml:space="preserve"> Pier, marina, or traveler's bazaar</t>
  </si>
  <si>
    <t xml:space="preserve"> Plaza or public square</t>
  </si>
  <si>
    <t xml:space="preserve"> Theater</t>
  </si>
  <si>
    <t xml:space="preserve"> Slums</t>
  </si>
  <si>
    <t xml:space="preserve"> Residential district, poor</t>
  </si>
  <si>
    <t xml:space="preserve"> Residential district, middle class</t>
  </si>
  <si>
    <t xml:space="preserve"> Residential district, upper class</t>
  </si>
  <si>
    <t xml:space="preserve"> Palace district</t>
  </si>
  <si>
    <t xml:space="preserve"> Temple district</t>
  </si>
  <si>
    <t xml:space="preserve"> Crafting district</t>
  </si>
  <si>
    <t xml:space="preserve"> Docks district</t>
  </si>
  <si>
    <t xml:space="preserve"> Riverfront district</t>
  </si>
  <si>
    <t xml:space="preserve"> Harbor district</t>
  </si>
  <si>
    <t xml:space="preserve"> University district</t>
  </si>
  <si>
    <t xml:space="preserve"> Military district</t>
  </si>
  <si>
    <t xml:space="preserve"> Market district</t>
  </si>
  <si>
    <t xml:space="preserve"> Garden district</t>
  </si>
  <si>
    <t xml:space="preserve"> Monument district</t>
  </si>
  <si>
    <t xml:space="preserve"> Necropolis</t>
  </si>
  <si>
    <t xml:space="preserve"> Theater district</t>
  </si>
  <si>
    <t xml:space="preserve"> Civic center</t>
  </si>
  <si>
    <t xml:space="preserve"> Ethnic enclave</t>
  </si>
  <si>
    <t xml:space="preserve"> Foreign enclave</t>
  </si>
  <si>
    <t xml:space="preserve"> Spear Street</t>
  </si>
  <si>
    <t xml:space="preserve"> River Street</t>
  </si>
  <si>
    <t xml:space="preserve"> Tower Street</t>
  </si>
  <si>
    <t xml:space="preserve"> Wildflower Lane</t>
  </si>
  <si>
    <t xml:space="preserve"> Steel Street</t>
  </si>
  <si>
    <t xml:space="preserve"> Weaver Street</t>
  </si>
  <si>
    <t xml:space="preserve"> Summit Street</t>
  </si>
  <si>
    <t xml:space="preserve"> Shady Lane</t>
  </si>
  <si>
    <t xml:space="preserve"> Market Street</t>
  </si>
  <si>
    <t xml:space="preserve"> Stockyard Street</t>
  </si>
  <si>
    <t xml:space="preserve"> Victory Lane</t>
  </si>
  <si>
    <t xml:space="preserve"> State Street</t>
  </si>
  <si>
    <t xml:space="preserve"> Wall Street</t>
  </si>
  <si>
    <t xml:space="preserve"> Water Street</t>
  </si>
  <si>
    <t xml:space="preserve"> Waterview Street</t>
  </si>
  <si>
    <t xml:space="preserve"> West Street</t>
  </si>
  <si>
    <t xml:space="preserve"> Willow Street</t>
  </si>
  <si>
    <t xml:space="preserve"> Watergate Street</t>
  </si>
  <si>
    <t xml:space="preserve"> Violet Street</t>
  </si>
  <si>
    <t xml:space="preserve"> Silver Lane</t>
  </si>
  <si>
    <t xml:space="preserve"> Well Street</t>
  </si>
  <si>
    <t xml:space="preserve"> (d8):</t>
  </si>
  <si>
    <t xml:space="preserve"> Armory Street</t>
  </si>
  <si>
    <t xml:space="preserve"> Barricade Street</t>
  </si>
  <si>
    <t xml:space="preserve"> Knight Street</t>
  </si>
  <si>
    <t xml:space="preserve"> Moat Street</t>
  </si>
  <si>
    <t xml:space="preserve"> Pike Street</t>
  </si>
  <si>
    <t xml:space="preserve"> Rampart Street</t>
  </si>
  <si>
    <t xml:space="preserve"> Shield Street</t>
  </si>
  <si>
    <t xml:space="preserve"> (d20):</t>
  </si>
  <si>
    <t xml:space="preserve"> (d10):</t>
  </si>
  <si>
    <t xml:space="preserve"> (d12):</t>
  </si>
  <si>
    <t xml:space="preserve"> Arch Street</t>
  </si>
  <si>
    <t xml:space="preserve"> Castle Street</t>
  </si>
  <si>
    <t xml:space="preserve"> Cattle Road</t>
  </si>
  <si>
    <t xml:space="preserve"> Anvil Street</t>
  </si>
  <si>
    <t xml:space="preserve"> Bluff Street</t>
  </si>
  <si>
    <t xml:space="preserve"> Baker Street</t>
  </si>
  <si>
    <t xml:space="preserve"> Banner Road</t>
  </si>
  <si>
    <t xml:space="preserve"> Crown Street</t>
  </si>
  <si>
    <t xml:space="preserve"> Circle Street</t>
  </si>
  <si>
    <t xml:space="preserve"> Bay Street</t>
  </si>
  <si>
    <t xml:space="preserve"> Bayview Street</t>
  </si>
  <si>
    <t xml:space="preserve"> North Road</t>
  </si>
  <si>
    <t xml:space="preserve"> Beech Street</t>
  </si>
  <si>
    <t xml:space="preserve"> Northgate Street</t>
  </si>
  <si>
    <t xml:space="preserve"> Briar Street</t>
  </si>
  <si>
    <t xml:space="preserve"> Copper Street</t>
  </si>
  <si>
    <t xml:space="preserve"> Ancient Way</t>
  </si>
  <si>
    <t xml:space="preserve"> Bridge Street</t>
  </si>
  <si>
    <t xml:space="preserve"> Common Street</t>
  </si>
  <si>
    <t xml:space="preserve"> Barrel Street</t>
  </si>
  <si>
    <t xml:space="preserve"> Cliff Street</t>
  </si>
  <si>
    <t xml:space="preserve"> Hook Street</t>
  </si>
  <si>
    <t xml:space="preserve"> Captains Street</t>
  </si>
  <si>
    <t xml:space="preserve"> King Street</t>
  </si>
  <si>
    <t xml:space="preserve"> Borderline Road</t>
  </si>
  <si>
    <t xml:space="preserve"> Commerce Street</t>
  </si>
  <si>
    <t xml:space="preserve"> Castleview Street</t>
  </si>
  <si>
    <t xml:space="preserve"> North Street</t>
  </si>
  <si>
    <t xml:space="preserve"> Cedar Street</t>
  </si>
  <si>
    <t xml:space="preserve"> Southgate Street</t>
  </si>
  <si>
    <t xml:space="preserve"> Bush Street</t>
  </si>
  <si>
    <t xml:space="preserve"> Crystal Road</t>
  </si>
  <si>
    <t xml:space="preserve"> Bath Street</t>
  </si>
  <si>
    <t xml:space="preserve"> Canal Street</t>
  </si>
  <si>
    <t xml:space="preserve"> Hovel Street</t>
  </si>
  <si>
    <t xml:space="preserve"> Green Street</t>
  </si>
  <si>
    <t xml:space="preserve"> Carpenter Street</t>
  </si>
  <si>
    <t xml:space="preserve"> Crestline Way</t>
  </si>
  <si>
    <t xml:space="preserve"> Devil's Lane</t>
  </si>
  <si>
    <t xml:space="preserve"> Farm Road</t>
  </si>
  <si>
    <t xml:space="preserve"> Drum Street</t>
  </si>
  <si>
    <t xml:space="preserve"> Lords Lane</t>
  </si>
  <si>
    <t xml:space="preserve"> Brick Road</t>
  </si>
  <si>
    <t xml:space="preserve"> Dockside Way</t>
  </si>
  <si>
    <t xml:space="preserve"> Gardenview Street</t>
  </si>
  <si>
    <t xml:space="preserve"> South Road</t>
  </si>
  <si>
    <t xml:space="preserve"> Cherry Street</t>
  </si>
  <si>
    <t xml:space="preserve"> Eastgate Street</t>
  </si>
  <si>
    <t xml:space="preserve"> Gardenia Lane</t>
  </si>
  <si>
    <t xml:space="preserve"> Emerald Way</t>
  </si>
  <si>
    <t xml:space="preserve"> Fountain Street</t>
  </si>
  <si>
    <t xml:space="preserve"> Cross Street</t>
  </si>
  <si>
    <t xml:space="preserve"> Inn Street</t>
  </si>
  <si>
    <t xml:space="preserve"> Greenway Street</t>
  </si>
  <si>
    <t xml:space="preserve"> Chandler Street</t>
  </si>
  <si>
    <t xml:space="preserve"> High Street</t>
  </si>
  <si>
    <t xml:space="preserve"> Low Street</t>
  </si>
  <si>
    <t xml:space="preserve"> Feather Street</t>
  </si>
  <si>
    <t xml:space="preserve"> March Street</t>
  </si>
  <si>
    <t xml:space="preserve"> Monarch Street</t>
  </si>
  <si>
    <t xml:space="preserve"> Curtain Street</t>
  </si>
  <si>
    <t xml:space="preserve"> Harbor Street</t>
  </si>
  <si>
    <t xml:space="preserve"> Greenview Street</t>
  </si>
  <si>
    <t xml:space="preserve"> South Street</t>
  </si>
  <si>
    <t xml:space="preserve"> Cypress Street</t>
  </si>
  <si>
    <t xml:space="preserve"> Westgate Street</t>
  </si>
  <si>
    <t xml:space="preserve"> Garden Street</t>
  </si>
  <si>
    <t xml:space="preserve"> Jewelers Lane</t>
  </si>
  <si>
    <t xml:space="preserve"> Old Brick Road</t>
  </si>
  <si>
    <t xml:space="preserve"> Falls Road</t>
  </si>
  <si>
    <t xml:space="preserve"> Keep Street</t>
  </si>
  <si>
    <t xml:space="preserve"> Meadow Lane</t>
  </si>
  <si>
    <t xml:space="preserve"> Cooper Street</t>
  </si>
  <si>
    <t xml:space="preserve"> Highland Way</t>
  </si>
  <si>
    <t xml:space="preserve"> Magpie Lane</t>
  </si>
  <si>
    <t xml:space="preserve"> Mill Street</t>
  </si>
  <si>
    <t xml:space="preserve"> Parade Street</t>
  </si>
  <si>
    <t xml:space="preserve"> Palace Way</t>
  </si>
  <si>
    <t xml:space="preserve"> Perimeter Street</t>
  </si>
  <si>
    <t xml:space="preserve"> Lake Street</t>
  </si>
  <si>
    <t xml:space="preserve"> Harborview Street</t>
  </si>
  <si>
    <t xml:space="preserve"> East Road</t>
  </si>
  <si>
    <t xml:space="preserve"> Fir Street</t>
  </si>
  <si>
    <t xml:space="preserve"> Old Gate Road</t>
  </si>
  <si>
    <t xml:space="preserve"> Lilac Street</t>
  </si>
  <si>
    <t xml:space="preserve"> Golden Lane</t>
  </si>
  <si>
    <t xml:space="preserve"> Old Stone Road</t>
  </si>
  <si>
    <t xml:space="preserve"> Ferryman Street</t>
  </si>
  <si>
    <t xml:space="preserve"> Manor Street</t>
  </si>
  <si>
    <t xml:space="preserve"> Orchard Street</t>
  </si>
  <si>
    <t xml:space="preserve"> Dyer Street</t>
  </si>
  <si>
    <t xml:space="preserve"> Hill Street</t>
  </si>
  <si>
    <t xml:space="preserve"> Paupers Street</t>
  </si>
  <si>
    <t xml:space="preserve"> Pork Road</t>
  </si>
  <si>
    <t xml:space="preserve"> Triumphant Way</t>
  </si>
  <si>
    <t xml:space="preserve"> Queens Street</t>
  </si>
  <si>
    <t xml:space="preserve"> Townline Road</t>
  </si>
  <si>
    <t xml:space="preserve"> Pier Street</t>
  </si>
  <si>
    <t xml:space="preserve"> Marketview Street</t>
  </si>
  <si>
    <t xml:space="preserve"> East Street</t>
  </si>
  <si>
    <t xml:space="preserve"> Maple Street</t>
  </si>
  <si>
    <t xml:space="preserve"> Rivergate Street</t>
  </si>
  <si>
    <t xml:space="preserve"> Lily Way</t>
  </si>
  <si>
    <t xml:space="preserve"> Rich Way</t>
  </si>
  <si>
    <t xml:space="preserve"> Stone Ruin Road</t>
  </si>
  <si>
    <t xml:space="preserve"> Pole Street</t>
  </si>
  <si>
    <t xml:space="preserve"> Rock Way</t>
  </si>
  <si>
    <t xml:space="preserve"> Pasture Road</t>
  </si>
  <si>
    <t xml:space="preserve"> Forge Street</t>
  </si>
  <si>
    <t xml:space="preserve"> Hilltop Lane</t>
  </si>
  <si>
    <t xml:space="preserve"> Penny Lane</t>
  </si>
  <si>
    <t xml:space="preserve"> Ranchers Road</t>
  </si>
  <si>
    <t xml:space="preserve"> Trumpet Street</t>
  </si>
  <si>
    <t xml:space="preserve"> Royal Street</t>
  </si>
  <si>
    <t xml:space="preserve"> Watch Street</t>
  </si>
  <si>
    <t xml:space="preserve"> Portside Way</t>
  </si>
  <si>
    <t xml:space="preserve"> Riverview Street</t>
  </si>
  <si>
    <t xml:space="preserve"> West Road</t>
  </si>
  <si>
    <t xml:space="preserve"> Oak Street</t>
  </si>
  <si>
    <t xml:space="preserve"> Watchtower Street</t>
  </si>
  <si>
    <t xml:space="preserve"> Petal Street</t>
  </si>
  <si>
    <t xml:space="preserve"> Ruby Road</t>
  </si>
  <si>
    <t xml:space="preserve"> Tumblestone Way</t>
  </si>
  <si>
    <t xml:space="preserve"> Glass Street</t>
  </si>
  <si>
    <t xml:space="preserve"> Ridge Street</t>
  </si>
  <si>
    <t xml:space="preserve"> Rat's Alley</t>
  </si>
  <si>
    <t xml:space="preserve"> Palm Street</t>
  </si>
  <si>
    <t xml:space="preserve"> Poppy Street</t>
  </si>
  <si>
    <t xml:space="preserve"> Hammer Street</t>
  </si>
  <si>
    <t xml:space="preserve"> Ridgeline Way</t>
  </si>
  <si>
    <t xml:space="preserve"> Serpent's Alley</t>
  </si>
  <si>
    <t xml:space="preserve"> Pine Street</t>
  </si>
  <si>
    <t xml:space="preserve"> Rose Street</t>
  </si>
  <si>
    <t xml:space="preserve"> Horseshoe Street</t>
  </si>
  <si>
    <t xml:space="preserve"> Spruce Street</t>
  </si>
  <si>
    <t xml:space="preserve"> Sunflower Lane</t>
  </si>
  <si>
    <t xml:space="preserve"> Iron Street</t>
  </si>
  <si>
    <t xml:space="preserve"> Walnut Street</t>
  </si>
  <si>
    <t xml:space="preserve"> Thorny Lane</t>
  </si>
  <si>
    <t xml:space="preserve"> Mason Street</t>
  </si>
  <si>
    <t xml:space="preserve"> Smith Street</t>
  </si>
  <si>
    <t xml:space="preserve"> Tailor Street</t>
  </si>
  <si>
    <t xml:space="preserve"> Stone Street</t>
  </si>
  <si>
    <t xml:space="preserve"> Timber Street</t>
  </si>
  <si>
    <t xml:space="preserve"> Wood Street</t>
  </si>
  <si>
    <t xml:space="preserve"> Wright Street</t>
  </si>
  <si>
    <t xml:space="preserve"> Crooks' Alley</t>
  </si>
  <si>
    <t>Devil's Alley</t>
  </si>
  <si>
    <t xml:space="preserve"> House Street</t>
  </si>
  <si>
    <t>Жилое (совершите бросок по таблице «жилище»)</t>
  </si>
  <si>
    <t>Религиозное (совершите бросок по таблице «религиозное здание»)</t>
  </si>
  <si>
    <t>Склад (совершите бросок по таблице «склад»)</t>
  </si>
  <si>
    <t>Магазин (совершите бросок по таблице «магазин»)</t>
  </si>
  <si>
    <t>The city grew up around</t>
  </si>
  <si>
    <t>growing</t>
  </si>
  <si>
    <t>grazing</t>
  </si>
  <si>
    <t>The city is near a region ideal for</t>
  </si>
  <si>
    <t>mining</t>
  </si>
  <si>
    <t xml:space="preserve"> Gold deposits</t>
  </si>
  <si>
    <t xml:space="preserve"> silver deposits</t>
  </si>
  <si>
    <t xml:space="preserve"> granite deposits</t>
  </si>
  <si>
    <t>salt deposits</t>
  </si>
  <si>
    <t xml:space="preserve"> coal deposits</t>
  </si>
  <si>
    <t xml:space="preserve"> Clay deposits</t>
  </si>
  <si>
    <t xml:space="preserve"> Quartz deposits</t>
  </si>
  <si>
    <t xml:space="preserve"> Peat deposits</t>
  </si>
  <si>
    <t xml:space="preserve"> Rice</t>
  </si>
  <si>
    <t xml:space="preserve"> wheat</t>
  </si>
  <si>
    <t>1–6</t>
  </si>
  <si>
    <t>1–3</t>
  </si>
  <si>
    <t>2–3</t>
  </si>
  <si>
    <t>4–6</t>
  </si>
  <si>
    <t>4–5</t>
  </si>
  <si>
    <t>6–7</t>
  </si>
  <si>
    <t>Высокой модой</t>
  </si>
  <si>
    <t>Wine and/or ale</t>
  </si>
  <si>
    <t>Грубыми жителями</t>
  </si>
  <si>
    <t>Изысканной кухней</t>
  </si>
  <si>
    <t xml:space="preserve">Жадными торговцами </t>
  </si>
  <si>
    <t>Художниками и писателями</t>
  </si>
  <si>
    <t xml:space="preserve">Цветами </t>
  </si>
  <si>
    <t xml:space="preserve">Толпами нищих </t>
  </si>
  <si>
    <t>Стойкими воителями</t>
  </si>
  <si>
    <t>Набожностью</t>
  </si>
  <si>
    <t>Азартными играми</t>
  </si>
  <si>
    <t>Безбожием</t>
  </si>
  <si>
    <t>Влиятельными гильдиями</t>
  </si>
  <si>
    <t>к32</t>
  </si>
  <si>
    <t>Религиозные секты борются за власть</t>
  </si>
  <si>
    <t>5–7</t>
  </si>
  <si>
    <t>Чума (назревают бунты)</t>
  </si>
  <si>
    <t>Голод (назревают бунты)</t>
  </si>
  <si>
    <t xml:space="preserve">к26 </t>
  </si>
  <si>
    <t>d12</t>
  </si>
  <si>
    <t>Threats: The people of the city are fearful of (leaders and commonfolk may fear different things)</t>
  </si>
  <si>
    <t>d20</t>
  </si>
  <si>
    <t>Power Players: Within or outside the government, power is held by</t>
  </si>
  <si>
    <t>d10</t>
  </si>
  <si>
    <t>Defenses: The city is defended by</t>
  </si>
  <si>
    <t>Law Enforcement: The laws are</t>
  </si>
  <si>
    <t>Districts: This part of the city is the</t>
  </si>
  <si>
    <t>Street Names: The locals call this street</t>
  </si>
  <si>
    <t xml:space="preserve"> mausoleum</t>
  </si>
  <si>
    <t xml:space="preserve"> reflecting pool</t>
  </si>
  <si>
    <t xml:space="preserve"> colossus</t>
  </si>
  <si>
    <t xml:space="preserve"> column</t>
  </si>
  <si>
    <t xml:space="preserve"> obelisk</t>
  </si>
  <si>
    <t xml:space="preserve"> plaque</t>
  </si>
  <si>
    <t>Развлекательное (совершите бросок по таблице «таверна» и два броска по таблице «название таверны»)</t>
  </si>
  <si>
    <t xml:space="preserve"> Lighthouse</t>
  </si>
  <si>
    <t>watchtower</t>
  </si>
  <si>
    <t>Parade ground</t>
  </si>
  <si>
    <t>ВОЕННОЕ</t>
  </si>
  <si>
    <t>Fortress</t>
  </si>
  <si>
    <t>ГОРОД</t>
  </si>
  <si>
    <t>МЕМОРИАЛ</t>
  </si>
  <si>
    <t>13–20</t>
  </si>
  <si>
    <t>7–12</t>
  </si>
  <si>
    <t>3–4</t>
  </si>
  <si>
    <t>9–10</t>
  </si>
  <si>
    <t>14–16</t>
  </si>
  <si>
    <t>15–16</t>
  </si>
  <si>
    <t>5–8</t>
  </si>
  <si>
    <t>9–11</t>
  </si>
  <si>
    <t>Город (совершите бросок по таблице «город»)</t>
  </si>
  <si>
    <t>Мемориал  (совершите бросок по таблице «мемориал»)</t>
  </si>
  <si>
    <t>Военное  (совершите бросок по таблице «военное»)</t>
  </si>
  <si>
    <t xml:space="preserve"> statue garden or  large statue</t>
  </si>
  <si>
    <t>d6 Questionable drinks</t>
  </si>
  <si>
    <t xml:space="preserve"> Trip wire</t>
  </si>
  <si>
    <t xml:space="preserve"> Pressure plate</t>
  </si>
  <si>
    <t xml:space="preserve"> Opening a door</t>
  </si>
  <si>
    <t xml:space="preserve"> Lifting the lid on a chest</t>
  </si>
  <si>
    <t xml:space="preserve"> Grabbing a certain rung of a ladder</t>
  </si>
  <si>
    <t xml:space="preserve"> Removing an object from it’s resting place</t>
  </si>
  <si>
    <t xml:space="preserve"> Touching anything in the room, including the floor</t>
  </si>
  <si>
    <t xml:space="preserve"> Breaking the beam of a light source</t>
  </si>
  <si>
    <t xml:space="preserve"> Disturbing a source of water in the room</t>
  </si>
  <si>
    <t xml:space="preserve"> Pulling on a suspicious looking rope hanging from the ceiling</t>
  </si>
  <si>
    <t xml:space="preserve"> Gears can be heard grinding from inside the walls</t>
  </si>
  <si>
    <t xml:space="preserve"> A low boom is heard that echoes out through the dungeon</t>
  </si>
  <si>
    <t xml:space="preserve"> A high pitched whirring can be heard</t>
  </si>
  <si>
    <t xml:space="preserve"> Various ticking sounds are heard</t>
  </si>
  <si>
    <t xml:space="preserve"> A quick release of steam followed by a bang</t>
  </si>
  <si>
    <t xml:space="preserve"> A low rumbling that shakes the room for a moment</t>
  </si>
  <si>
    <t xml:space="preserve"> A single click</t>
  </si>
  <si>
    <t xml:space="preserve"> The sound of chains sliding across stone</t>
  </si>
  <si>
    <t xml:space="preserve"> A thumping sound that starts slow and begins picking up speed</t>
  </si>
  <si>
    <t xml:space="preserve"> Nothing</t>
  </si>
  <si>
    <t xml:space="preserve"> Silence</t>
  </si>
  <si>
    <t xml:space="preserve"> The floor opens downward into a 40 foot pit</t>
  </si>
  <si>
    <t xml:space="preserve"> From unseen slits in the wall, poisoned needles fly out</t>
  </si>
  <si>
    <t xml:space="preserve"> A wall opens revealing a golem to ambush the party</t>
  </si>
  <si>
    <t xml:space="preserve"> A large log swings down from the ceiling</t>
  </si>
  <si>
    <t xml:space="preserve"> The parts of the dungeon begin collapsing, blocking off areas</t>
  </si>
  <si>
    <t xml:space="preserve"> Vents on the ceiling begin emptying noxious fumes into the room</t>
  </si>
  <si>
    <t xml:space="preserve"> A large blade swings horizontally across the room attempting to decapitate</t>
  </si>
  <si>
    <t xml:space="preserve"> The room begins filling with water after the doors slam shut</t>
  </si>
  <si>
    <t xml:space="preserve"> The walls slowly begin closing inwards</t>
  </si>
  <si>
    <t xml:space="preserve"> A large rolling boulder drops from the ceiling towards the party</t>
  </si>
  <si>
    <t xml:space="preserve"> An arcane rune on the floor</t>
  </si>
  <si>
    <t xml:space="preserve"> Arcane markings around a door frame</t>
  </si>
  <si>
    <t xml:space="preserve"> A pillar that has a low hum to it</t>
  </si>
  <si>
    <t xml:space="preserve"> A jeweled eye that scans the room</t>
  </si>
  <si>
    <t xml:space="preserve"> Stone statue that has glowing red eyes</t>
  </si>
  <si>
    <t xml:space="preserve"> A mysterious green fog that rolls around the base of the room</t>
  </si>
  <si>
    <t xml:space="preserve"> A very dimly lit candle that could be extinguished with the faintest breath</t>
  </si>
  <si>
    <t xml:space="preserve"> A phrase scrawled on the wall that activates when said out loud</t>
  </si>
  <si>
    <t xml:space="preserve"> Failing to cast any spell on a dull crystal floating in the center of the room</t>
  </si>
  <si>
    <t xml:space="preserve"> Lighting a rather inviting looking torch in the center of the room</t>
  </si>
  <si>
    <t xml:space="preserve"> A low hum is heard</t>
  </si>
  <si>
    <t xml:space="preserve"> A very unnatural light begins glowing brightly from an unknown source</t>
  </si>
  <si>
    <t xml:space="preserve"> Any runes in the room begin glowing a bright red</t>
  </si>
  <si>
    <t xml:space="preserve"> The room suddenly drops drastically in temperature</t>
  </si>
  <si>
    <t xml:space="preserve"> The room gets uncomfortably hot</t>
  </si>
  <si>
    <t xml:space="preserve"> A soft hiss is heard</t>
  </si>
  <si>
    <t xml:space="preserve"> A fizzling sound is heard</t>
  </si>
  <si>
    <t xml:space="preserve"> A high pitched hum rings out</t>
  </si>
  <si>
    <t xml:space="preserve"> A crackling of energy is heard through the room</t>
  </si>
  <si>
    <t xml:space="preserve"> Sleep is cast on the room</t>
  </si>
  <si>
    <t xml:space="preserve"> Victim must resist being petrified</t>
  </si>
  <si>
    <t xml:space="preserve"> A fireball explodes throughout the room</t>
  </si>
  <si>
    <t xml:space="preserve"> All surfaces of the room begin to become too hot to touch (Effectively heat metal)</t>
  </si>
  <si>
    <t xml:space="preserve"> Fumes begin materializing as if stinking cloud was cast</t>
  </si>
  <si>
    <t xml:space="preserve"> A wall of lightning races towards the victim and any others in its way</t>
  </si>
  <si>
    <t xml:space="preserve"> All people in the room have blindness cast on them</t>
  </si>
  <si>
    <t xml:space="preserve"> The victim is sent to the astral plane for one minute</t>
  </si>
  <si>
    <t xml:space="preserve"> Everything in the room begins to levitate, no save</t>
  </si>
  <si>
    <t xml:space="preserve"> The spell Confusion is cast on everyone</t>
  </si>
  <si>
    <t xml:space="preserve"> A torch is lit in another room, alerting enemies</t>
  </si>
  <si>
    <t xml:space="preserve"> A door in another room closes, hiding a secret passage</t>
  </si>
  <si>
    <t xml:space="preserve"> Chests in the dungeon lock up</t>
  </si>
  <si>
    <t xml:space="preserve"> A dangerous enemy is freed that could normally be avoided</t>
  </si>
  <si>
    <t xml:space="preserve"> All other traps that have already been triggered get reset</t>
  </si>
  <si>
    <t xml:space="preserve"> All lights are extinguished</t>
  </si>
  <si>
    <t xml:space="preserve"> Golems begin patrolling the dungeon</t>
  </si>
  <si>
    <t xml:space="preserve"> All doors in the dungeon lock themselves</t>
  </si>
  <si>
    <t xml:space="preserve"> An alarm bell begins ringing alerting all enemies of the party</t>
  </si>
  <si>
    <t xml:space="preserve"> Another more sinister trap is set in another room</t>
  </si>
  <si>
    <t xml:space="preserve"> Trap was never reset</t>
  </si>
  <si>
    <t xml:space="preserve"> The trap does multiple things, roll twice on the effect table</t>
  </si>
  <si>
    <t xml:space="preserve"> Enemies in the room knowingly trigger the trap and then run from it</t>
  </si>
  <si>
    <t xml:space="preserve"> Enemies can be overheard talking about how useless the trap is</t>
  </si>
  <si>
    <t xml:space="preserve"> An enemy has a list of traps and how to avoid them</t>
  </si>
  <si>
    <t xml:space="preserve"> There is a dummy trigger, drawing attention away from the real trigger</t>
  </si>
  <si>
    <t xml:space="preserve"> Illusion magic is used to disguise all of the triggers</t>
  </si>
  <si>
    <t xml:space="preserve"> Enemies are foolish enough to be lured into their own traps</t>
  </si>
  <si>
    <t xml:space="preserve"> The trap fails, but not before scaring the pants off the party</t>
  </si>
  <si>
    <t xml:space="preserve"> Delay of ten seconds</t>
  </si>
  <si>
    <t xml:space="preserve"> Прижимная плита</t>
  </si>
  <si>
    <t xml:space="preserve"> Открытие двери</t>
  </si>
  <si>
    <t xml:space="preserve"> Поднятие крышки на сундуке</t>
  </si>
  <si>
    <t xml:space="preserve"> Прикосновение к чему-либо в комнате, включая пол</t>
  </si>
  <si>
    <t xml:space="preserve"> Прерывание луча источника света</t>
  </si>
  <si>
    <t xml:space="preserve"> Потревожить источник воды в комнате</t>
  </si>
  <si>
    <t xml:space="preserve"> Потянув за подозрительно выглядящую веревку, свисающую с потолка</t>
  </si>
  <si>
    <t xml:space="preserve"> Изнутри стен слышен скрежет шестеренок</t>
  </si>
  <si>
    <t xml:space="preserve"> Слышен низкий гул, эхом разносящийся по подземелью</t>
  </si>
  <si>
    <t xml:space="preserve"> Слышно пронзительное жужжание</t>
  </si>
  <si>
    <t xml:space="preserve"> Слышны различные тикающие звуки</t>
  </si>
  <si>
    <t xml:space="preserve"> Быстрый выпуск пара с последующим взрывом</t>
  </si>
  <si>
    <t xml:space="preserve"> Низкое урчание, которое на мгновение сотрясает комнату</t>
  </si>
  <si>
    <t xml:space="preserve"> Один щелчок</t>
  </si>
  <si>
    <t xml:space="preserve"> Звук цепей, скользящих по камню</t>
  </si>
  <si>
    <t xml:space="preserve"> Стук, который начинается медленно и начинает набирать скорость</t>
  </si>
  <si>
    <t xml:space="preserve"> Ничего такого</t>
  </si>
  <si>
    <t xml:space="preserve"> Пол открывается вниз в 40-футовую яму</t>
  </si>
  <si>
    <t xml:space="preserve"> Из невидимых щелей в стене вылетают отравленные иглы</t>
  </si>
  <si>
    <t xml:space="preserve"> Стена открывается, обнажая голема, который устроит засаду на вечеринку</t>
  </si>
  <si>
    <t xml:space="preserve"> С потолка свисает большое бревно</t>
  </si>
  <si>
    <t xml:space="preserve"> Части подземелья начинают разрушаться, блокируя области</t>
  </si>
  <si>
    <t xml:space="preserve"> Вентиляционные отверстия на потолке начинают выводить ядовитые пары в комнату</t>
  </si>
  <si>
    <t xml:space="preserve"> Большой клинок движется по комнате горизонтально, пытаясь обезглавить</t>
  </si>
  <si>
    <t xml:space="preserve"> Комната начинает наполняться водой после того, как захлопываются двери</t>
  </si>
  <si>
    <t xml:space="preserve"> Стены медленно начинают закрываться внутрь</t>
  </si>
  <si>
    <t xml:space="preserve"> Большой катящийся валун падает с потолка в сторону вечеринки</t>
  </si>
  <si>
    <t xml:space="preserve"> Чародейская руна на полу</t>
  </si>
  <si>
    <t xml:space="preserve"> Чародейские отметины вокруг дверной коробки</t>
  </si>
  <si>
    <t xml:space="preserve"> Столб с низким гудением</t>
  </si>
  <si>
    <t xml:space="preserve"> Украшенный драгоценностями глаз, который сканирует комнату</t>
  </si>
  <si>
    <t xml:space="preserve"> Каменная статуя со светящимися красными глазами</t>
  </si>
  <si>
    <t xml:space="preserve"> Таинственный зеленый туман, окутывающий основание комнаты</t>
  </si>
  <si>
    <t xml:space="preserve"> Очень тускло горящая свеча, которую можно было погасить легчайшим вздохом</t>
  </si>
  <si>
    <t xml:space="preserve"> На стене нацарапана фраза, которая активируется при произнесении вслух</t>
  </si>
  <si>
    <t xml:space="preserve"> Неспособность наложить какое-либо заклинание на тусклый кристалл, плавающий в центре комнаты</t>
  </si>
  <si>
    <t xml:space="preserve"> Зажигаем довольно привлекательно выглядящий факел в центре комнаты</t>
  </si>
  <si>
    <t xml:space="preserve"> Слышен низкий гул</t>
  </si>
  <si>
    <t xml:space="preserve"> Очень неестественный свет начинает ярко светиться от неизвестного источника</t>
  </si>
  <si>
    <t xml:space="preserve"> Любые руны в комнате начинают светиться ярко-красным светом</t>
  </si>
  <si>
    <t xml:space="preserve"> В комнате внезапно резко падает температура</t>
  </si>
  <si>
    <t xml:space="preserve"> В комнате становится некомфортно жарко</t>
  </si>
  <si>
    <t xml:space="preserve"> Слышно мягкое шипение</t>
  </si>
  <si>
    <t xml:space="preserve"> Слышен шипящий звук</t>
  </si>
  <si>
    <t xml:space="preserve"> Раздается высокий гул</t>
  </si>
  <si>
    <t xml:space="preserve"> По комнате слышен треск энергии</t>
  </si>
  <si>
    <t xml:space="preserve"> Тишина</t>
  </si>
  <si>
    <t xml:space="preserve"> Сон окутывает комнату</t>
  </si>
  <si>
    <t xml:space="preserve"> Жертва должна сопротивляться окаменению</t>
  </si>
  <si>
    <t xml:space="preserve"> Огненный шар взрывается по всей комнате</t>
  </si>
  <si>
    <t xml:space="preserve"> Все поверхности в комнате становятся слишком горячими, чтобы их можно было прикоснуться (эффективно нагреть металл)</t>
  </si>
  <si>
    <t xml:space="preserve"> Испарения начинают появляться, как будто было брошено вонючее облако</t>
  </si>
  <si>
    <t xml:space="preserve"> Стена молний мчится к жертве и всем остальным на своем пути</t>
  </si>
  <si>
    <t xml:space="preserve"> Все люди в комнате слепнут</t>
  </si>
  <si>
    <t xml:space="preserve"> Жертву отправляют в астральный план на одну минуту</t>
  </si>
  <si>
    <t xml:space="preserve"> Все в комнате начинает левитировать, нет спасения</t>
  </si>
  <si>
    <t xml:space="preserve"> На всех наложено заклинание Замешательство</t>
  </si>
  <si>
    <t xml:space="preserve"> В другой комнате горит факел, предупреждая врагов</t>
  </si>
  <si>
    <t xml:space="preserve"> Дверь в другой комнате закрывается, скрывая секретный проход</t>
  </si>
  <si>
    <t xml:space="preserve"> Сундуки в темнице запираются</t>
  </si>
  <si>
    <t xml:space="preserve"> Освобожден опасный враг, которого обычно можно избежать</t>
  </si>
  <si>
    <t xml:space="preserve"> Все остальные сработавшие ловушки сбрасываются</t>
  </si>
  <si>
    <t xml:space="preserve"> Все огни погашены</t>
  </si>
  <si>
    <t xml:space="preserve"> Големы начинают патрулирование подземелья</t>
  </si>
  <si>
    <t xml:space="preserve"> Все двери в темнице запираются сами собой</t>
  </si>
  <si>
    <t xml:space="preserve"> Начинает звонить тревожный колокол, предупреждая всех врагов партии</t>
  </si>
  <si>
    <t xml:space="preserve"> Еще одна более зловещая ловушка установлена ​​в другой комнате</t>
  </si>
  <si>
    <t xml:space="preserve"> Ловушка никогда не сбрасывалась</t>
  </si>
  <si>
    <t xml:space="preserve"> Ловушка выполняет несколько действий, бросьте дважды по таблице эффектов</t>
  </si>
  <si>
    <t xml:space="preserve"> Враги в комнате сознательно активируют ловушку, а затем убегают от нее</t>
  </si>
  <si>
    <t xml:space="preserve"> Можно услышать, как враги говорят о бесполезности ловушки</t>
  </si>
  <si>
    <t xml:space="preserve"> У врага есть список ловушек и способы их избежать</t>
  </si>
  <si>
    <t xml:space="preserve"> Есть фиктивный триггер, отвлекающий внимание от настоящего триггера</t>
  </si>
  <si>
    <t xml:space="preserve"> Магия иллюзий используется для маскировки всех триггеров</t>
  </si>
  <si>
    <t xml:space="preserve"> Враги достаточно глупы, чтобы заманивать их в собственные ловушки</t>
  </si>
  <si>
    <t xml:space="preserve"> Ловушка терпит неудачу, но не раньше, чем спугнет с вечеринки штаны</t>
  </si>
  <si>
    <t xml:space="preserve"> Задержка на десять секунд</t>
  </si>
  <si>
    <t xml:space="preserve"> Взяться за определенную перекладину лестницы</t>
  </si>
  <si>
    <t xml:space="preserve"> Удаление предмета с места его хранения</t>
  </si>
  <si>
    <t xml:space="preserve"> Растяжка</t>
  </si>
  <si>
    <t>3. Decent; there are only a few cracks in the walls, but the place can withstand a siege.</t>
  </si>
  <si>
    <t>5. Poor; the walls and towers are in dire need of repairs.</t>
  </si>
  <si>
    <t>12. The crown, but the king or queen rarely stays here.</t>
  </si>
  <si>
    <t>d12 The position or territory is worth defending because…</t>
  </si>
  <si>
    <t>3. The surrounding land is excellent for grazing livestock.</t>
  </si>
  <si>
    <t>5. The nearby pass is the easiest way to cross the mountains.</t>
  </si>
  <si>
    <t>8. The nearby source of freshwater is precious is in this region.</t>
  </si>
  <si>
    <t>10. The surrounding lands are part of a long-standing territorial dispute.</t>
  </si>
  <si>
    <t>12. The nearby lands are home to a rare herb, tree, or creature that has magical uses.</t>
  </si>
  <si>
    <t>4. A treacherous climb to reach the castle walls.</t>
  </si>
  <si>
    <t>8. A moat that is home to one or more dangerous aquatic beasts.</t>
  </si>
  <si>
    <t>2. One of the world's largest dual-portcullis gates.</t>
  </si>
  <si>
    <t>4. Several covered parapets with murder holes under which intruders must pass.</t>
  </si>
  <si>
    <t>5. A wide courtyard surrounded by flanking towers in the curtain wall.</t>
  </si>
  <si>
    <t>d8 The castle can be held effectively by as few as…</t>
  </si>
  <si>
    <t>d6 In addition to its garrison, the castle can hold foodstores to withstand a three-month siege for up to…</t>
  </si>
  <si>
    <t>d12 What is rumored to be hidden in the castle?</t>
  </si>
  <si>
    <t>1. An underground tunnel that can serve as a last-gasp escape route.</t>
  </si>
  <si>
    <t>12. A gallery (d6): 1. armor and weaponry; 2. paintings; 3. sculptures; 4. tapestries; 5. hunting trophies; 6. trophies of war.</t>
  </si>
  <si>
    <t>18. Store room for mundane supplies or a cistern for drinking water.</t>
  </si>
  <si>
    <t>20. A treasure vault (likely hidden and/or protected by traps).</t>
  </si>
  <si>
    <t>"Damsel In Distress"</t>
  </si>
  <si>
    <t>Random Dungeons</t>
  </si>
  <si>
    <t>d10 This place is (or was) a...</t>
  </si>
  <si>
    <t>1. A stronghold.</t>
  </si>
  <si>
    <t>2. A temple.</t>
  </si>
  <si>
    <t>3. A tomb.</t>
  </si>
  <si>
    <t>4. A prison.</t>
  </si>
  <si>
    <t>5. A mine.</t>
  </si>
  <si>
    <t>6. A lair.</t>
  </si>
  <si>
    <t>7. A palace.</t>
  </si>
  <si>
    <t>8. A storage vault.</t>
  </si>
  <si>
    <t>9. A sewer.</t>
  </si>
  <si>
    <t>10. A maze.</t>
  </si>
  <si>
    <t>d12 ...built by...</t>
  </si>
  <si>
    <t>1. An ancient dwarvish clan.</t>
  </si>
  <si>
    <t>2. An ancient elf prince.</t>
  </si>
  <si>
    <t>3. A powerful wizard.</t>
  </si>
  <si>
    <t>4. A dark sorceress.</t>
  </si>
  <si>
    <t>5. A foreign empire.</t>
  </si>
  <si>
    <t>6. An ambitious queen of old.</t>
  </si>
  <si>
    <t>7. Prosperous merchants.</t>
  </si>
  <si>
    <t>8. A powerful noble family.</t>
  </si>
  <si>
    <t>9. Religious zealots.</t>
  </si>
  <si>
    <t>10. An ancient race of giants.</t>
  </si>
  <si>
    <t>11. A tyrannical king of old.</t>
  </si>
  <si>
    <t>12. No one; it's a natural cave.</t>
  </si>
  <si>
    <t>d12 ...and located...</t>
  </si>
  <si>
    <t>1. Beneath a cold mountain.</t>
  </si>
  <si>
    <t>2. Beneath a fiery mountain.</t>
  </si>
  <si>
    <t>3. Near a well-traveled mountain pass.</t>
  </si>
  <si>
    <t>4. Deep within a forest.</t>
  </si>
  <si>
    <t>5. Deep within a desert.</t>
  </si>
  <si>
    <t>6. Beside the sea.</t>
  </si>
  <si>
    <t>7. On an island.</t>
  </si>
  <si>
    <t>8. Beneath a bustling city.</t>
  </si>
  <si>
    <t>9. Beneath the ruin of an ancient city.</t>
  </si>
  <si>
    <t>10. Beneath a well-known castle or monastery.</t>
  </si>
  <si>
    <t>11. Beneath a the ruin of an old castle or monastery.</t>
  </si>
  <si>
    <t>12. In a place reachable only by magic.</t>
  </si>
  <si>
    <t>d12 The place is currently occupied by...</t>
  </si>
  <si>
    <t>1. A dangerous outlaw.</t>
  </si>
  <si>
    <t>2. An elemental lord.</t>
  </si>
  <si>
    <t>3. A vampire.</t>
  </si>
  <si>
    <t>4. A lich.</t>
  </si>
  <si>
    <t>5. A demon.</t>
  </si>
  <si>
    <t>6. A devil.</t>
  </si>
  <si>
    <t>7. An orc warlord.</t>
  </si>
  <si>
    <t>8. A hobgoblin commander.</t>
  </si>
  <si>
    <t>9. An aberrant presence.</t>
  </si>
  <si>
    <t>10. A witch.</t>
  </si>
  <si>
    <t>11. A giant.</t>
  </si>
  <si>
    <t>12. A dragon.</t>
  </si>
  <si>
    <t>d12 ...and some...</t>
  </si>
  <si>
    <t>1. Thieves.</t>
  </si>
  <si>
    <t>2. Goblins.</t>
  </si>
  <si>
    <t>3. Zombies.</t>
  </si>
  <si>
    <t>4. Skeletons.</t>
  </si>
  <si>
    <t>5. Bats.</t>
  </si>
  <si>
    <t>6. Rats.</t>
  </si>
  <si>
    <t>7. Spiders.</t>
  </si>
  <si>
    <t>8. Oozes.</t>
  </si>
  <si>
    <t>9. Kobolds.</t>
  </si>
  <si>
    <t>10. Cultists.</t>
  </si>
  <si>
    <t>11. Troglodytes.</t>
  </si>
  <si>
    <t>12. Ogres.</t>
  </si>
  <si>
    <t>d12 If you survive the...</t>
  </si>
  <si>
    <t>1. Gauntlet of mechanical traps.</t>
  </si>
  <si>
    <t>2. Powerful magical wards.</t>
  </si>
  <si>
    <t>3. Golem guardians.</t>
  </si>
  <si>
    <t>4. Elemental guardians.</t>
  </si>
  <si>
    <t>5. Noxious gas.</t>
  </si>
  <si>
    <t>6. Toxic mold.</t>
  </si>
  <si>
    <t>7. Horrible curse.</t>
  </si>
  <si>
    <t>8. Unstable ceilings.</t>
  </si>
  <si>
    <t>9. Flooding chambers.</t>
  </si>
  <si>
    <t>10. Sinkholes.</t>
  </si>
  <si>
    <t>11. Steam vents and lava flows.</t>
  </si>
  <si>
    <t>12. Slippery footing.</t>
  </si>
  <si>
    <t>d12 ...you might recover the...</t>
  </si>
  <si>
    <t>1. Weapon of a legendary warrior.</t>
  </si>
  <si>
    <t>2. Wand of a famous witch or wizard.</t>
  </si>
  <si>
    <t>3. Spellbook of a notorious mage.</t>
  </si>
  <si>
    <t>4. Treasure stash of a notable pirate.</t>
  </si>
  <si>
    <t>5. Hoard of an old dragon.</t>
  </si>
  <si>
    <t>6. Treasury of an ancient dwarvish realm.</t>
  </si>
  <si>
    <t>7. Artifacts of an elvish hero.</t>
  </si>
  <si>
    <t>8. Relics of a celebrated priest.</t>
  </si>
  <si>
    <t>9. Chests of silver carried by a lost ship or caravan.</t>
  </si>
  <si>
    <t>10. Crown jewels of a long-dead queen.</t>
  </si>
  <si>
    <t>11. Largest diamond found in this part of the world.</t>
  </si>
  <si>
    <t>12. Staff of an infamous sorcerer or necromancer.</t>
  </si>
  <si>
    <t>Random Dungeon Dressing</t>
  </si>
  <si>
    <t>d100 Air Currents</t>
  </si>
  <si>
    <t>01-05. breeze, slight.</t>
  </si>
  <si>
    <t>06-10. breeze, slight, damp.</t>
  </si>
  <si>
    <t>11-12. breeze, gusting.</t>
  </si>
  <si>
    <t>13-18. cold current.</t>
  </si>
  <si>
    <t>19-20. downdraft, slight.</t>
  </si>
  <si>
    <t>21-22. downdraft, strong.</t>
  </si>
  <si>
    <t>23-69. still.</t>
  </si>
  <si>
    <t>70-75. still, very chill.</t>
  </si>
  <si>
    <t>76-85. still, warm (or hot).</t>
  </si>
  <si>
    <t>86-87. updraft, slight.</t>
  </si>
  <si>
    <t>88-89. updraft, strong.</t>
  </si>
  <si>
    <t>90-93. wind, strong.</t>
  </si>
  <si>
    <t>94-95. wind, strong, gusting.</t>
  </si>
  <si>
    <t>96-100. wind, strong, moaning.</t>
  </si>
  <si>
    <t>d100 Odors</t>
  </si>
  <si>
    <t>01-03. acrid smell.</t>
  </si>
  <si>
    <t>04-05. chlorine smell.</t>
  </si>
  <si>
    <t>06-39. dank, mouldy smell.</t>
  </si>
  <si>
    <t>40-49. earthy smell.</t>
  </si>
  <si>
    <t>50-57. manure smell.</t>
  </si>
  <si>
    <t>58-61. metallic smell.</t>
  </si>
  <si>
    <t>62-65. ozone smell.</t>
  </si>
  <si>
    <t>66-70. putrid smell.</t>
  </si>
  <si>
    <t>71-75. rotting vegetation smell.</t>
  </si>
  <si>
    <t>76-77. salty, wet smell.</t>
  </si>
  <si>
    <t>78-82. smoky smell.</t>
  </si>
  <si>
    <t>83-89. stale, fetid smell.</t>
  </si>
  <si>
    <t>90-95. sulphurous smell.</t>
  </si>
  <si>
    <t>96-100. urine smell.</t>
  </si>
  <si>
    <t>d100 Air</t>
  </si>
  <si>
    <t>01-70. clear.</t>
  </si>
  <si>
    <t>71-80. foggy (or steamy).</t>
  </si>
  <si>
    <t>81-88. foggy near floor (or steamy).</t>
  </si>
  <si>
    <t>89-90. hazy (dust).</t>
  </si>
  <si>
    <t>91-100. misted.</t>
  </si>
  <si>
    <t>d100 General features</t>
  </si>
  <si>
    <t>1. arrow, broken.</t>
  </si>
  <si>
    <t>02-04. ashes.</t>
  </si>
  <si>
    <t>05-06. bones.</t>
  </si>
  <si>
    <t>10-19. cobwebs.</t>
  </si>
  <si>
    <t>21-22. cracks, ceiling.</t>
  </si>
  <si>
    <t>23-24. cracks, floor.</t>
  </si>
  <si>
    <t>25-26. cracks, wall.</t>
  </si>
  <si>
    <t>28-29. dampness, ceiling.</t>
  </si>
  <si>
    <t>30-33. dampness, wall.</t>
  </si>
  <si>
    <t>34-40. dripping.</t>
  </si>
  <si>
    <t>42-44. dung.</t>
  </si>
  <si>
    <t>45-49. dust.</t>
  </si>
  <si>
    <t>53-55. guano.</t>
  </si>
  <si>
    <t>62-64. leaves (dry) &amp; twigs.</t>
  </si>
  <si>
    <t>65-68. mold (common).</t>
  </si>
  <si>
    <t>72-73. rags.</t>
  </si>
  <si>
    <t>75-76. rubble &amp; dirt.</t>
  </si>
  <si>
    <t>82-83. sticks.</t>
  </si>
  <si>
    <t>88-89. torch stub.</t>
  </si>
  <si>
    <t>90-91. wall scratchings.</t>
  </si>
  <si>
    <t>92-93. water, small puddle.</t>
  </si>
  <si>
    <t>94-95. water, large puddle.</t>
  </si>
  <si>
    <t>98-100. wood pieces, rotting.</t>
  </si>
  <si>
    <t>d100 Unexplained Sounds and Weird Noises</t>
  </si>
  <si>
    <t>01-05. bang, slam.</t>
  </si>
  <si>
    <t>06. bellow(ing).</t>
  </si>
  <si>
    <t>07. bong.</t>
  </si>
  <si>
    <t>08. buzzing.</t>
  </si>
  <si>
    <t>09-10. chanting.</t>
  </si>
  <si>
    <t>11. chiming.</t>
  </si>
  <si>
    <t>12. chirping.</t>
  </si>
  <si>
    <t>13. clanking.</t>
  </si>
  <si>
    <t>14. clashing.</t>
  </si>
  <si>
    <t>15. clicking.</t>
  </si>
  <si>
    <t>16. coughing.</t>
  </si>
  <si>
    <t>17-18. creaking.</t>
  </si>
  <si>
    <t>19. drumming.</t>
  </si>
  <si>
    <t>20-23. footsteps (ahead).</t>
  </si>
  <si>
    <t>24-26. footsteps (approaching).</t>
  </si>
  <si>
    <t>27-29. footsteps (behind).</t>
  </si>
  <si>
    <t>30-31. footsteps (receding).</t>
  </si>
  <si>
    <t>32-33. footsteps (side).</t>
  </si>
  <si>
    <t>34-35. giggling (faint).</t>
  </si>
  <si>
    <t>36. gong.</t>
  </si>
  <si>
    <t>37-39. grating.</t>
  </si>
  <si>
    <t>40-41. groaning.</t>
  </si>
  <si>
    <t>42. grunting.</t>
  </si>
  <si>
    <t>43-44. hissing.</t>
  </si>
  <si>
    <t>45. hooting.</t>
  </si>
  <si>
    <t>46. horn/trumpet sounding.</t>
  </si>
  <si>
    <t>47. howling.</t>
  </si>
  <si>
    <t>48. humming.</t>
  </si>
  <si>
    <t>49. jingling.</t>
  </si>
  <si>
    <t>50-53. knocking.</t>
  </si>
  <si>
    <t>54-55. laughter.</t>
  </si>
  <si>
    <t>56-57. moaning.</t>
  </si>
  <si>
    <t>58-60. murmuring.</t>
  </si>
  <si>
    <t>61. music.</t>
  </si>
  <si>
    <t>62. rattling.</t>
  </si>
  <si>
    <t>63. ringing.</t>
  </si>
  <si>
    <t>64. roar(ing).</t>
  </si>
  <si>
    <t>65-68. rustling.</t>
  </si>
  <si>
    <t>69-72. scratching/scrabbling.</t>
  </si>
  <si>
    <t>73-74. scream(ing).</t>
  </si>
  <si>
    <t>75-77. scuttling.</t>
  </si>
  <si>
    <t>78. shuffling.</t>
  </si>
  <si>
    <t>79-80. slithering.</t>
  </si>
  <si>
    <t>81. snapping.</t>
  </si>
  <si>
    <t>82. sneezing.</t>
  </si>
  <si>
    <t>83. sobbing.</t>
  </si>
  <si>
    <t>84. splashing.</t>
  </si>
  <si>
    <t>85. splintering.</t>
  </si>
  <si>
    <t>86-87. squeaking.</t>
  </si>
  <si>
    <t>88. squealing.</t>
  </si>
  <si>
    <t>89-90. tapping.</t>
  </si>
  <si>
    <t>91-92. thud.</t>
  </si>
  <si>
    <t>93-94. thumping.</t>
  </si>
  <si>
    <t>95. tinkling.</t>
  </si>
  <si>
    <t>96. twanging.</t>
  </si>
  <si>
    <t>97. whining.</t>
  </si>
  <si>
    <t>98. whispering.</t>
  </si>
  <si>
    <t>99-100. whistling.</t>
  </si>
  <si>
    <t>d100 Furnishing and Appointments, General</t>
  </si>
  <si>
    <t>1. altar.</t>
  </si>
  <si>
    <t>2. armchair.</t>
  </si>
  <si>
    <t>3. armoire.</t>
  </si>
  <si>
    <t>4. arross.</t>
  </si>
  <si>
    <t>5. bag.</t>
  </si>
  <si>
    <t>6. barrel.</t>
  </si>
  <si>
    <t>07-08. bed.</t>
  </si>
  <si>
    <t>7. bench.</t>
  </si>
  <si>
    <t>8. blanket.</t>
  </si>
  <si>
    <t>9. box (large).</t>
  </si>
  <si>
    <t>10. brazier &amp; charcoal.</t>
  </si>
  <si>
    <t>11. bucket.</t>
  </si>
  <si>
    <t>12. buffet.</t>
  </si>
  <si>
    <t>13. bunks.</t>
  </si>
  <si>
    <t>14. butt (large barrel).</t>
  </si>
  <si>
    <t>15. cabinet.</t>
  </si>
  <si>
    <t>16. candelabrum.</t>
  </si>
  <si>
    <t>17. carpet (large).</t>
  </si>
  <si>
    <t>18. cask.</t>
  </si>
  <si>
    <t>19. chandelier.</t>
  </si>
  <si>
    <t>20. charcoal.</t>
  </si>
  <si>
    <t>23-24. chair.</t>
  </si>
  <si>
    <t>21. chair, padded.</t>
  </si>
  <si>
    <t>22. chair, padded, arm.</t>
  </si>
  <si>
    <t>23. chest, large.</t>
  </si>
  <si>
    <t>24. chest, medium.</t>
  </si>
  <si>
    <t>25. chest of drawers.</t>
  </si>
  <si>
    <t>26. closet (wardrobe).</t>
  </si>
  <si>
    <t>27. coal.</t>
  </si>
  <si>
    <t>32-33. couch.</t>
  </si>
  <si>
    <t>28. crate.</t>
  </si>
  <si>
    <t>29. cresset.</t>
  </si>
  <si>
    <t>30. cupboard.</t>
  </si>
  <si>
    <t>31. cushion.</t>
  </si>
  <si>
    <t>32. dias.</t>
  </si>
  <si>
    <t>33. desk.</t>
  </si>
  <si>
    <t>40-42. fireplace &amp; wood.</t>
  </si>
  <si>
    <t>34. fireplace with mantle.</t>
  </si>
  <si>
    <t>35. firkin.</t>
  </si>
  <si>
    <t>36. fountain.</t>
  </si>
  <si>
    <t>37. fresco.</t>
  </si>
  <si>
    <t>38. grindstone.</t>
  </si>
  <si>
    <t>39. hamper.</t>
  </si>
  <si>
    <t>40. hassock.</t>
  </si>
  <si>
    <t>41. hogshead.</t>
  </si>
  <si>
    <t>42. idol (large).</t>
  </si>
  <si>
    <t>43. keg.</t>
  </si>
  <si>
    <t>44. loom.</t>
  </si>
  <si>
    <t>45. mat.</t>
  </si>
  <si>
    <t>46. mattress.</t>
  </si>
  <si>
    <t>47. pail.</t>
  </si>
  <si>
    <t>48. painting.</t>
  </si>
  <si>
    <t>58-60. pallet.</t>
  </si>
  <si>
    <t>49. pedestal.</t>
  </si>
  <si>
    <t>62-64. pegs.</t>
  </si>
  <si>
    <t>50. pillow.</t>
  </si>
  <si>
    <t>51. pipe (large cask).</t>
  </si>
  <si>
    <t>52. quilt.</t>
  </si>
  <si>
    <t>68-70. rug(small/medium).</t>
  </si>
  <si>
    <t>53. rushes.</t>
  </si>
  <si>
    <t>54. sack.</t>
  </si>
  <si>
    <t>55. sconce, wall.</t>
  </si>
  <si>
    <t>56. screen.</t>
  </si>
  <si>
    <t>57. sheet.</t>
  </si>
  <si>
    <t>76-77. shelf.</t>
  </si>
  <si>
    <t>58. shrine.</t>
  </si>
  <si>
    <t>59. sideboard.</t>
  </si>
  <si>
    <t>60. sofa.</t>
  </si>
  <si>
    <t>61. staff, normal.</t>
  </si>
  <si>
    <t>62. stand.</t>
  </si>
  <si>
    <t>63. statue.</t>
  </si>
  <si>
    <t>64. stool, high.</t>
  </si>
  <si>
    <t>65. stool, normal.</t>
  </si>
  <si>
    <t>66. table, large.</t>
  </si>
  <si>
    <t>67. table, long.</t>
  </si>
  <si>
    <t>68. table, low.</t>
  </si>
  <si>
    <t>69. table, round.</t>
  </si>
  <si>
    <t>70. table, small.</t>
  </si>
  <si>
    <t>71. table, trestle.</t>
  </si>
  <si>
    <t>72. tapestry.</t>
  </si>
  <si>
    <t>73. throne.</t>
  </si>
  <si>
    <t>74. trunk.</t>
  </si>
  <si>
    <t>75. tub.</t>
  </si>
  <si>
    <t>76. tun.</t>
  </si>
  <si>
    <t>77. urn.</t>
  </si>
  <si>
    <t>78. wall basin and font.</t>
  </si>
  <si>
    <t>79. wood billets.</t>
  </si>
  <si>
    <t>80. workbench.</t>
  </si>
  <si>
    <t>d100 Religious Articles and Furnishings</t>
  </si>
  <si>
    <t>01-05. altar.</t>
  </si>
  <si>
    <t>06-08. bell(s).</t>
  </si>
  <si>
    <t>09-11. brazier(s).</t>
  </si>
  <si>
    <t>12. candleabra.</t>
  </si>
  <si>
    <t>13-14. candles.</t>
  </si>
  <si>
    <t>15. candlesticks.</t>
  </si>
  <si>
    <t>16. cassocks.</t>
  </si>
  <si>
    <t>17. chime(s).</t>
  </si>
  <si>
    <t>18-19. cloth (altar).</t>
  </si>
  <si>
    <t>20-23. columns/pillars.</t>
  </si>
  <si>
    <t>24. curtain/tapestry.</t>
  </si>
  <si>
    <t>25. drum.</t>
  </si>
  <si>
    <t>26-27. font.</t>
  </si>
  <si>
    <t>28-29. gong.</t>
  </si>
  <si>
    <t>30-35. holy/unholy symbol(s).</t>
  </si>
  <si>
    <t>36-37. holy/unholy writings.</t>
  </si>
  <si>
    <t>38-43. idol(s).</t>
  </si>
  <si>
    <t>44-48. incense burner(s).</t>
  </si>
  <si>
    <t>49. kneeling bench.</t>
  </si>
  <si>
    <t>50-53. lamp(s).</t>
  </si>
  <si>
    <t>54. lectern.</t>
  </si>
  <si>
    <t>55. mosaics.</t>
  </si>
  <si>
    <t>56-58. offertory container.</t>
  </si>
  <si>
    <t>59. paintings/frescoes.</t>
  </si>
  <si>
    <t>60-61. pews.</t>
  </si>
  <si>
    <t>62. pipes (musical).</t>
  </si>
  <si>
    <t>63. prayer rug.</t>
  </si>
  <si>
    <t>64. pulpit.</t>
  </si>
  <si>
    <t>65. rail.</t>
  </si>
  <si>
    <t>66-67. robes.</t>
  </si>
  <si>
    <t>68-69. sanctuary.</t>
  </si>
  <si>
    <t>70-71. screen.</t>
  </si>
  <si>
    <t>72-76. shrine.</t>
  </si>
  <si>
    <t>77. side chair(s).</t>
  </si>
  <si>
    <t>78-79. stand.</t>
  </si>
  <si>
    <t>80-82. statues(s).</t>
  </si>
  <si>
    <t>83. throne.</t>
  </si>
  <si>
    <t>84-85. thurible.</t>
  </si>
  <si>
    <t>86-88. tripod.</t>
  </si>
  <si>
    <t>89-90. vestry.</t>
  </si>
  <si>
    <t>91-97. vestments.</t>
  </si>
  <si>
    <t>98-99. votive light.</t>
  </si>
  <si>
    <t>100. whistle.</t>
  </si>
  <si>
    <t>d100 Torture Chamber Furnishings</t>
  </si>
  <si>
    <t>01-02. bastinadoes.</t>
  </si>
  <si>
    <t>03. bell (huge).</t>
  </si>
  <si>
    <t>04-06. bench.</t>
  </si>
  <si>
    <t>07-10. boots (iron).</t>
  </si>
  <si>
    <t>11-15. branding irons.</t>
  </si>
  <si>
    <t>16-20. brazier.</t>
  </si>
  <si>
    <t>21-22. cage.</t>
  </si>
  <si>
    <t>23-26. chains.</t>
  </si>
  <si>
    <t>27. chair with straps.</t>
  </si>
  <si>
    <t>28. clamps.</t>
  </si>
  <si>
    <t>29-31. cressets.</t>
  </si>
  <si>
    <t>32. fetters.</t>
  </si>
  <si>
    <t>33-35. fire pit.</t>
  </si>
  <si>
    <t>36. grill.</t>
  </si>
  <si>
    <t>37-38. hooks.</t>
  </si>
  <si>
    <t>39-43. iron maiden.</t>
  </si>
  <si>
    <t>44. knives.</t>
  </si>
  <si>
    <t>45. manacles.</t>
  </si>
  <si>
    <t>46. oubliette.</t>
  </si>
  <si>
    <t>47-48. oil (barrel of).</t>
  </si>
  <si>
    <t>49-50. pillory.</t>
  </si>
  <si>
    <t>51-54. pincers.</t>
  </si>
  <si>
    <t>55-56. pliers.</t>
  </si>
  <si>
    <t>57-58. pot (huge).</t>
  </si>
  <si>
    <t>59-66. rack.</t>
  </si>
  <si>
    <t>67-68. ropes.</t>
  </si>
  <si>
    <t>69. stocks.</t>
  </si>
  <si>
    <t>70-71. stool.</t>
  </si>
  <si>
    <t>72-75. strappado.</t>
  </si>
  <si>
    <t>76-78. straw.</t>
  </si>
  <si>
    <t>79-80. table.</t>
  </si>
  <si>
    <t>81. thongs.</t>
  </si>
  <si>
    <t>82-85. thumb screws.</t>
  </si>
  <si>
    <t>86-88. torches.</t>
  </si>
  <si>
    <t>89-90. "U" rack.</t>
  </si>
  <si>
    <t>91. vice.</t>
  </si>
  <si>
    <t>92-93. well.</t>
  </si>
  <si>
    <t>94-96. wheel.</t>
  </si>
  <si>
    <t>97-100. whips.</t>
  </si>
  <si>
    <t>d100 Magic-User Furnishings</t>
  </si>
  <si>
    <t>01-03. alembic.</t>
  </si>
  <si>
    <t>04-05. balance &amp; weights.</t>
  </si>
  <si>
    <t>06-09. beaker.</t>
  </si>
  <si>
    <t>10. bellows.</t>
  </si>
  <si>
    <t>11. bladder.</t>
  </si>
  <si>
    <t>12-13. bottle.</t>
  </si>
  <si>
    <t>14-16. book.</t>
  </si>
  <si>
    <t>17. bowl.</t>
  </si>
  <si>
    <t>18. box.</t>
  </si>
  <si>
    <t>19-22. brazier.</t>
  </si>
  <si>
    <t>23. cage.</t>
  </si>
  <si>
    <t>24-25. cauldron.</t>
  </si>
  <si>
    <t>26. candle.</t>
  </si>
  <si>
    <t>27. candlestick.</t>
  </si>
  <si>
    <t>28. carafe.</t>
  </si>
  <si>
    <t>29-30. chalk.</t>
  </si>
  <si>
    <t>31. crucible.</t>
  </si>
  <si>
    <t>32. cruet.</t>
  </si>
  <si>
    <t>33. crystal ball.</t>
  </si>
  <si>
    <t>34. decanter.</t>
  </si>
  <si>
    <t>35. desk.</t>
  </si>
  <si>
    <t>36. dish.</t>
  </si>
  <si>
    <t>37-38. flask.</t>
  </si>
  <si>
    <t>39. funnel.</t>
  </si>
  <si>
    <t>40. furnace.</t>
  </si>
  <si>
    <t>41-44. herbs.</t>
  </si>
  <si>
    <t>45. horn.</t>
  </si>
  <si>
    <t>46. hourglass.</t>
  </si>
  <si>
    <t>47-48. jar.</t>
  </si>
  <si>
    <t>49. jug.</t>
  </si>
  <si>
    <t>50. kettle.</t>
  </si>
  <si>
    <t>51. ladle.</t>
  </si>
  <si>
    <t>52. lamp.</t>
  </si>
  <si>
    <t>53. lens (concave, convex, etc...).</t>
  </si>
  <si>
    <t>54. magic circle.</t>
  </si>
  <si>
    <t>55. mortar &amp; pestle.</t>
  </si>
  <si>
    <t>56. pan.</t>
  </si>
  <si>
    <t>57-58. parchment.</t>
  </si>
  <si>
    <t>59. pentacle.</t>
  </si>
  <si>
    <t>60. pentagram.</t>
  </si>
  <si>
    <t>61. phial.</t>
  </si>
  <si>
    <t>62. pipette.</t>
  </si>
  <si>
    <t>63. pot.</t>
  </si>
  <si>
    <t>64. prism.</t>
  </si>
  <si>
    <t>65. quill.</t>
  </si>
  <si>
    <t>66-68. retort.</t>
  </si>
  <si>
    <t>69. rod, mixing/stirring.</t>
  </si>
  <si>
    <t>70-71. scroll.</t>
  </si>
  <si>
    <t>72. scroll tube.</t>
  </si>
  <si>
    <t>73. sheet.</t>
  </si>
  <si>
    <t>74. skin.</t>
  </si>
  <si>
    <t>75. skull.</t>
  </si>
  <si>
    <t>76. spatula.</t>
  </si>
  <si>
    <t>77. spoon, measuring.</t>
  </si>
  <si>
    <t>78. stand.</t>
  </si>
  <si>
    <t>79. stool.</t>
  </si>
  <si>
    <t>80. stuffed animal.</t>
  </si>
  <si>
    <t>81. tank (container).</t>
  </si>
  <si>
    <t>82. tongs.</t>
  </si>
  <si>
    <t>83. tripod.</t>
  </si>
  <si>
    <t>84. tube (container).</t>
  </si>
  <si>
    <t>85-86. tube (piping).</t>
  </si>
  <si>
    <t>87. tweezers.</t>
  </si>
  <si>
    <t>88-90. vial.</t>
  </si>
  <si>
    <t>91. waterclock.</t>
  </si>
  <si>
    <t>92. wire.</t>
  </si>
  <si>
    <t>93-100. workbench.</t>
  </si>
  <si>
    <t>d100 General Description of Container Contents</t>
  </si>
  <si>
    <t>01-03. ash.</t>
  </si>
  <si>
    <t>04-06. bark.</t>
  </si>
  <si>
    <t>07-09. bone.</t>
  </si>
  <si>
    <t>10-14. chunks.</t>
  </si>
  <si>
    <t>15-17. cinders.</t>
  </si>
  <si>
    <t>18-22. crystals.</t>
  </si>
  <si>
    <t>23-26. dust.</t>
  </si>
  <si>
    <t>27-28. fibers.</t>
  </si>
  <si>
    <t>29-31. gelatin.</t>
  </si>
  <si>
    <t>32-33. globes.</t>
  </si>
  <si>
    <t>34-37. grains.</t>
  </si>
  <si>
    <t>38-40. greasy.</t>
  </si>
  <si>
    <t>41-43. husks.</t>
  </si>
  <si>
    <t>44-48. leaves.</t>
  </si>
  <si>
    <t>49-56. liquid.</t>
  </si>
  <si>
    <t>57-58. lump(s).</t>
  </si>
  <si>
    <t>59-61. oily.</t>
  </si>
  <si>
    <t>62-65. paste.</t>
  </si>
  <si>
    <t>66-68. pellets.</t>
  </si>
  <si>
    <t>69-81. powder.</t>
  </si>
  <si>
    <t>82-83. semi-liquid.</t>
  </si>
  <si>
    <t>84-85. skin/hide.</t>
  </si>
  <si>
    <t>86-87. splinters.</t>
  </si>
  <si>
    <t>88-89. stalks.</t>
  </si>
  <si>
    <t>90-92. strands.</t>
  </si>
  <si>
    <t>93-95. strips.</t>
  </si>
  <si>
    <t>96-100. viscous.</t>
  </si>
  <si>
    <t>d100 Miscellaneous Utensils and Personal Items</t>
  </si>
  <si>
    <t>1. awl.</t>
  </si>
  <si>
    <t>2. bandages.</t>
  </si>
  <si>
    <t>3. basin.</t>
  </si>
  <si>
    <t>04-05. basket.</t>
  </si>
  <si>
    <t>4. beater.</t>
  </si>
  <si>
    <t>5. book.</t>
  </si>
  <si>
    <t>08-09. bottle.</t>
  </si>
  <si>
    <t>6. bowl.</t>
  </si>
  <si>
    <t>7. box (small).</t>
  </si>
  <si>
    <t>12-13. brush.</t>
  </si>
  <si>
    <t>8. candle.</t>
  </si>
  <si>
    <t>9. candle snuffer.</t>
  </si>
  <si>
    <t>10. candlestick.</t>
  </si>
  <si>
    <t>11. cane (walking stick).</t>
  </si>
  <si>
    <t>12. case.</t>
  </si>
  <si>
    <t>13. casket (small).</t>
  </si>
  <si>
    <t>14. chopper.</t>
  </si>
  <si>
    <t>15. coffer.</t>
  </si>
  <si>
    <t>16. cologne.</t>
  </si>
  <si>
    <t>17. comb.</t>
  </si>
  <si>
    <t>18. cup.</t>
  </si>
  <si>
    <t>19. decanter.</t>
  </si>
  <si>
    <t>20. dipper.</t>
  </si>
  <si>
    <t>21. dish.</t>
  </si>
  <si>
    <t>22. earspoon.</t>
  </si>
  <si>
    <t>23. ewer.</t>
  </si>
  <si>
    <t>24. flagon.</t>
  </si>
  <si>
    <t>25. flask.</t>
  </si>
  <si>
    <t>26. food.</t>
  </si>
  <si>
    <t>27. fork.</t>
  </si>
  <si>
    <t>28. grater.</t>
  </si>
  <si>
    <t>29. grinder.</t>
  </si>
  <si>
    <t>30. hourglass.</t>
  </si>
  <si>
    <t>31. jack (container).</t>
  </si>
  <si>
    <t>32. jar.</t>
  </si>
  <si>
    <t>33. jug.</t>
  </si>
  <si>
    <t>34. kettle.</t>
  </si>
  <si>
    <t>35. knife.</t>
  </si>
  <si>
    <t>36. knucklebones.</t>
  </si>
  <si>
    <t>37. ladle.</t>
  </si>
  <si>
    <t>44-45. lamp/lantern.</t>
  </si>
  <si>
    <t>38. masher.</t>
  </si>
  <si>
    <t>39. mirror.</t>
  </si>
  <si>
    <t>40. mug.</t>
  </si>
  <si>
    <t>41. needle(s).</t>
  </si>
  <si>
    <t>42. oil, cooking (or fuel).</t>
  </si>
  <si>
    <t>43. oil fuel.</t>
  </si>
  <si>
    <t>44. oil, scented.</t>
  </si>
  <si>
    <t>45. pan.</t>
  </si>
  <si>
    <t>46. parchment.</t>
  </si>
  <si>
    <t>47. pitcher.</t>
  </si>
  <si>
    <t>48. pipe, musical.</t>
  </si>
  <si>
    <t>49. pipe, smoking.</t>
  </si>
  <si>
    <t>50. plate.</t>
  </si>
  <si>
    <t>51. platter.</t>
  </si>
  <si>
    <t>52. pot.</t>
  </si>
  <si>
    <t>53. pouch.</t>
  </si>
  <si>
    <t>54. puff.</t>
  </si>
  <si>
    <t>55. quill.</t>
  </si>
  <si>
    <t>56. razor.</t>
  </si>
  <si>
    <t>57. rope.</t>
  </si>
  <si>
    <t>58. salve.</t>
  </si>
  <si>
    <t>59. saucer.</t>
  </si>
  <si>
    <t>60. scraper.</t>
  </si>
  <si>
    <t>61. scroll.</t>
  </si>
  <si>
    <t>62. shaker.</t>
  </si>
  <si>
    <t>63. sifter.</t>
  </si>
  <si>
    <t>64. soap.</t>
  </si>
  <si>
    <t>65. spigot.</t>
  </si>
  <si>
    <t>66. spoon.</t>
  </si>
  <si>
    <t>67. stopper.</t>
  </si>
  <si>
    <t>68. statuette/figurine.</t>
  </si>
  <si>
    <t>69. strainer.</t>
  </si>
  <si>
    <t>70. tankard.</t>
  </si>
  <si>
    <t>71. thongs.</t>
  </si>
  <si>
    <t>72. thread.</t>
  </si>
  <si>
    <t>81-84. tinderbox (with flint &amp; steel).</t>
  </si>
  <si>
    <t>85-86. towel.</t>
  </si>
  <si>
    <t>73. tray.</t>
  </si>
  <si>
    <t>74. trivet.</t>
  </si>
  <si>
    <t>75. tureen.</t>
  </si>
  <si>
    <t>90-91. twine.</t>
  </si>
  <si>
    <t>76. unguent.</t>
  </si>
  <si>
    <t>77. vase.</t>
  </si>
  <si>
    <t>78. vial.</t>
  </si>
  <si>
    <t>79. wallet.</t>
  </si>
  <si>
    <t>80. washcloth.</t>
  </si>
  <si>
    <t>81. whetstone.</t>
  </si>
  <si>
    <t>82. wig.</t>
  </si>
  <si>
    <t>83. wool.</t>
  </si>
  <si>
    <t>84. yarn.</t>
  </si>
  <si>
    <t>d100 Clothing and Footwear</t>
  </si>
  <si>
    <t>01-02. apron.</t>
  </si>
  <si>
    <t>03-04. belt.</t>
  </si>
  <si>
    <t>05. blouse.</t>
  </si>
  <si>
    <t>06-08. boots.</t>
  </si>
  <si>
    <t>09. buskins.</t>
  </si>
  <si>
    <t>10-11. cap.</t>
  </si>
  <si>
    <t>12-13. cape.</t>
  </si>
  <si>
    <t>14-16. cloak.</t>
  </si>
  <si>
    <t>17-18. coat.</t>
  </si>
  <si>
    <t>19. coif.</t>
  </si>
  <si>
    <t>20. doublet.</t>
  </si>
  <si>
    <t>21-22. dress.</t>
  </si>
  <si>
    <t>23-24. frock/pinafore.</t>
  </si>
  <si>
    <t>25-26. gauntlets.</t>
  </si>
  <si>
    <t>27-28. girdle.</t>
  </si>
  <si>
    <t>29. gloves.</t>
  </si>
  <si>
    <t>30-31. gown.</t>
  </si>
  <si>
    <t>32-34. hat.</t>
  </si>
  <si>
    <t>35. habit.</t>
  </si>
  <si>
    <t>36-39. hood.</t>
  </si>
  <si>
    <t>40-41. hose.</t>
  </si>
  <si>
    <t>42-43. jerkin.</t>
  </si>
  <si>
    <t>44. jupon.</t>
  </si>
  <si>
    <t>45-46. kerchief.</t>
  </si>
  <si>
    <t>47-48. kirtle.</t>
  </si>
  <si>
    <t>49-50. leggings.</t>
  </si>
  <si>
    <t>51-54. linen (drawers).</t>
  </si>
  <si>
    <t>55-58. linen (undershirt).</t>
  </si>
  <si>
    <t>59. mantle.</t>
  </si>
  <si>
    <t>60. pantaloons.</t>
  </si>
  <si>
    <t>61-62. petticoat.</t>
  </si>
  <si>
    <t>63-66. pouch/purse.</t>
  </si>
  <si>
    <t>67-70. robe.</t>
  </si>
  <si>
    <t>71-74. sandals.</t>
  </si>
  <si>
    <t>75-76. scarf.</t>
  </si>
  <si>
    <t>77. shawl.</t>
  </si>
  <si>
    <t>78-79. shift.</t>
  </si>
  <si>
    <t>80-83. slippers.</t>
  </si>
  <si>
    <t>84-86. smock.</t>
  </si>
  <si>
    <t>87-89. stockings.</t>
  </si>
  <si>
    <t>90. surcoat.</t>
  </si>
  <si>
    <t>91. toga.</t>
  </si>
  <si>
    <t>92-94. trousers.</t>
  </si>
  <si>
    <t>95-96. tunic.</t>
  </si>
  <si>
    <t>97. veil.</t>
  </si>
  <si>
    <t>98. vest.</t>
  </si>
  <si>
    <t>99. wallet.</t>
  </si>
  <si>
    <t>100. wrapper.</t>
  </si>
  <si>
    <t>7. bottle, broken.</t>
  </si>
  <si>
    <t>8. chain, corroded.</t>
  </si>
  <si>
    <t>9. club, splintered.</t>
  </si>
  <si>
    <t>20. coin, copper (bent).</t>
  </si>
  <si>
    <t>27. dagger hilt.</t>
  </si>
  <si>
    <t>41. dried blood.</t>
  </si>
  <si>
    <t>50. flask, cracked.</t>
  </si>
  <si>
    <t>51. food scraps.</t>
  </si>
  <si>
    <t>52. fungi, common.</t>
  </si>
  <si>
    <t>56. hair/fur bits.</t>
  </si>
  <si>
    <t>57. hammer head, cracked.</t>
  </si>
  <si>
    <t>58. helmet, badly dented.</t>
  </si>
  <si>
    <t>59. iron bar, bent, rusted.</t>
  </si>
  <si>
    <t>60. javelin head, blunt.</t>
  </si>
  <si>
    <t>61. leather boot.</t>
  </si>
  <si>
    <t>69. pick handle.</t>
  </si>
  <si>
    <t>70. pole, broken.</t>
  </si>
  <si>
    <t>71. pottery shards.</t>
  </si>
  <si>
    <t>74. rope, rotten.</t>
  </si>
  <si>
    <t>77. sack, torn.</t>
  </si>
  <si>
    <t>78. slimy coating, ceiling.</t>
  </si>
  <si>
    <t>79. slimy coating, floor.</t>
  </si>
  <si>
    <t>80. slimy coating, wall.</t>
  </si>
  <si>
    <t>81. spike, rusted.</t>
  </si>
  <si>
    <t>84. stones, small.</t>
  </si>
  <si>
    <t>85. straw.</t>
  </si>
  <si>
    <t>86. sword blade, broken.</t>
  </si>
  <si>
    <t>87. teeth/fangs, scattered.</t>
  </si>
  <si>
    <t>96. water, trickle.</t>
  </si>
  <si>
    <t>97. wax blob (candle stub).</t>
  </si>
  <si>
    <t>Into the Dark…</t>
  </si>
  <si>
    <t>d10 Entrance: The cave mouth is...</t>
  </si>
  <si>
    <t>1. Wide and tall, letting much daylight into the entry chamber.</t>
  </si>
  <si>
    <t>2. A wide sinkhole.</t>
  </si>
  <si>
    <t>3. An easy to spot, narrow passage.</t>
  </si>
  <si>
    <t>4. A steep, slippery sloped tunnel.</t>
  </si>
  <si>
    <t>5. A man-made tunnel.</t>
  </si>
  <si>
    <t>6. A collapsed tunnel, impassable without excavation.</t>
  </si>
  <si>
    <t>7. Marked with several warning signs.</t>
  </si>
  <si>
    <t>8. Hidden by the terrain (d4): 1. some boulders; 2. a waterfall; 3. a rocky overhang; 4. a hillock.</t>
  </si>
  <si>
    <t>9. Hidden by vegetation (d4): 1. a briar patch; 2. a curtain of moss; 3. enormous tree roots; 4. overgrown vines.</t>
  </si>
  <si>
    <t>10. Difficult to access (d4): 1. up or down a cliff face; 2. down a deep hole. 3. in an underwater tunnel. 4. through an illusory rock or wall.</t>
  </si>
  <si>
    <t>d50 Denizens: What lives in the cave?</t>
  </si>
  <si>
    <t>1. Bullywug.</t>
  </si>
  <si>
    <t>2. Carrion crawler.</t>
  </si>
  <si>
    <t>3. Chuul.</t>
  </si>
  <si>
    <t>4. Cloaker.</t>
  </si>
  <si>
    <t>5. Crawling claw.</t>
  </si>
  <si>
    <t>6. Cyclops.</t>
  </si>
  <si>
    <t>7. Darkmantle.</t>
  </si>
  <si>
    <t>8. Shadow dragon.</t>
  </si>
  <si>
    <t>9. Drider.</t>
  </si>
  <si>
    <t>10. Duergar.</t>
  </si>
  <si>
    <t>11. Elves, dark.</t>
  </si>
  <si>
    <t>12. Ettin.</t>
  </si>
  <si>
    <t>13. Fomorian.</t>
  </si>
  <si>
    <t>14. Fungi.</t>
  </si>
  <si>
    <t>15. Galeb duhr.</t>
  </si>
  <si>
    <t>16. Gargoyle.</t>
  </si>
  <si>
    <t>17. Ghost.</t>
  </si>
  <si>
    <t>18. Ghoul.</t>
  </si>
  <si>
    <t>19. Giant, hill.</t>
  </si>
  <si>
    <t>20. Giant, stone.</t>
  </si>
  <si>
    <t>21. Gibbering mouther.</t>
  </si>
  <si>
    <t>22. Goblins.</t>
  </si>
  <si>
    <t>23. Grell.</t>
  </si>
  <si>
    <t>24. Grick.</t>
  </si>
  <si>
    <t>25. Grimlock.</t>
  </si>
  <si>
    <t>26. Hobgoblins.</t>
  </si>
  <si>
    <t>27. Hook Horror.</t>
  </si>
  <si>
    <t>28. Kobolds.</t>
  </si>
  <si>
    <t>29. Mephits.</t>
  </si>
  <si>
    <t>30. Mimic.</t>
  </si>
  <si>
    <t>31. Myconids.</t>
  </si>
  <si>
    <t>32. Ogres.</t>
  </si>
  <si>
    <t>33. Oozes.</t>
  </si>
  <si>
    <t>34. Orcs.</t>
  </si>
  <si>
    <t>35. Otyugh.</t>
  </si>
  <si>
    <t>36. Piercer.</t>
  </si>
  <si>
    <t>37. Purple worm.</t>
  </si>
  <si>
    <t>38. Roper.</t>
  </si>
  <si>
    <t>39. Rust monster.</t>
  </si>
  <si>
    <t>40. Shadow.</t>
  </si>
  <si>
    <t>41. Skeleton.</t>
  </si>
  <si>
    <t>42. Spectre.</t>
  </si>
  <si>
    <t>43. Stirge.</t>
  </si>
  <si>
    <t>44. Troglodyte.</t>
  </si>
  <si>
    <t>45. Troll.</t>
  </si>
  <si>
    <t>46. Umber hulk.</t>
  </si>
  <si>
    <t>47. Wraith.</t>
  </si>
  <si>
    <t>48. Xorn.</t>
  </si>
  <si>
    <t>49. Yuan-ti.</t>
  </si>
  <si>
    <t>50. Zombies.</t>
  </si>
  <si>
    <t>d10 Ecology: The creature is...</t>
  </si>
  <si>
    <t>1. A predator or a hunter.</t>
  </si>
  <si>
    <t>2. A food source for other denizens.</t>
  </si>
  <si>
    <t>3. A recently-arrived squatter or invader.</t>
  </si>
  <si>
    <t>4. A long-time resident.</t>
  </si>
  <si>
    <t>5. A parasite or a scavenger.</t>
  </si>
  <si>
    <t>6. A host or the dominant species.</t>
  </si>
  <si>
    <t>7. Unusually abundant.</t>
  </si>
  <si>
    <t>8. Living in deliberate isolation.</t>
  </si>
  <si>
    <t>9. Living in unintentional isolation.</t>
  </si>
  <si>
    <t>10. Severely out of place in this cave.</t>
  </si>
  <si>
    <t>d20 Distinguishing Landmark: You see...</t>
  </si>
  <si>
    <t>1. A trickle of water flowing down the walls and across the floor.</t>
  </si>
  <si>
    <t>2. An underground lake of potable water.</t>
  </si>
  <si>
    <t>3. A pool of stagnant water.</t>
  </si>
  <si>
    <t>4. A natural bridge over a chasm.</t>
  </si>
  <si>
    <t>5. A narrow chasm with walls close enough to climb between.</t>
  </si>
  <si>
    <t>6. A deep chasm with no bottom in sight.</t>
  </si>
  <si>
    <t>7. A shaft in the ceiling with no light coming from it.</t>
  </si>
  <si>
    <t>8. A shaft in the ceiling with dim light coming from it.</t>
  </si>
  <si>
    <t>9. A group of stalagmites arranged in a circle.</t>
  </si>
  <si>
    <t>10. An arrangement of two large stalactites and two large stalagmites, reminiscent of fangs in a yawning mouth.</t>
  </si>
  <si>
    <t>11. A pair of natural columns.</t>
  </si>
  <si>
    <t>12. A large stalactite that has broken off from the ceiling and fallen to the floor.</t>
  </si>
  <si>
    <t>13. An array of many small stalactites spreading across the ceiling.</t>
  </si>
  <si>
    <t>14. A damp wall covered in soft mold.</t>
  </si>
  <si>
    <t>15. A recess in the wall, covered in slimy mold.</t>
  </si>
  <si>
    <t>16. A large patch of glowing fungus.</t>
  </si>
  <si>
    <t>17. A large patch of small mushrooms.</t>
  </si>
  <si>
    <t>18. A group of enormous mushrooms.</t>
  </si>
  <si>
    <t>19. A large cavern with a strong echo.</t>
  </si>
  <si>
    <t>20. A claustrophobic tunnel with a low ceiling.</t>
  </si>
  <si>
    <t>d12 Features: You notice...</t>
  </si>
  <si>
    <t>1. A cache of abandoned, decrepit mining equipment.</t>
  </si>
  <si>
    <t>2. Some old dry bones.</t>
  </si>
  <si>
    <t>3. Many bones underfoot.</t>
  </si>
  <si>
    <t>4. Evidence of a recent encampment.</t>
  </si>
  <si>
    <t>5. An enormous spider web.</t>
  </si>
  <si>
    <t>6. A wide slippery patch of mold on the floor.</t>
  </si>
  <si>
    <t>7. The clatter of rocks falling.</t>
  </si>
  <si>
    <t>8. Loose stones underfoot.</t>
  </si>
  <si>
    <t>9. An unstable ceiling.</t>
  </si>
  <si>
    <t>10. A distant sound—a scream, hammers at work, footsteps, or drums.</t>
  </si>
  <si>
    <t>11. The name of a previous traveler carved into a wall.</t>
  </si>
  <si>
    <t>12. Several ancient runes carved into the wall.</t>
  </si>
  <si>
    <t>d12 The cave wall is...</t>
  </si>
  <si>
    <t>1. Slightly damp.</t>
  </si>
  <si>
    <t>2. Dripping wet.</t>
  </si>
  <si>
    <t>3. Slick with mold.</t>
  </si>
  <si>
    <t>4. Covered in soft fungi.</t>
  </si>
  <si>
    <t>5. Dry as a bone.</t>
  </si>
  <si>
    <t>6. Rough and dry.</t>
  </si>
  <si>
    <t>7. Dry and smooth.</t>
  </si>
  <si>
    <t>8. Jagged.</t>
  </si>
  <si>
    <t>9. Pockmarked.</t>
  </si>
  <si>
    <t>10. Crumbling, with loose bits flaking off.</t>
  </si>
  <si>
    <t>11. Crumbling, with large chunks falling off at a touch.</t>
  </si>
  <si>
    <t>12. Covered in an unidentifiable slime.</t>
  </si>
  <si>
    <t>d6 The cave ceiling is...</t>
  </si>
  <si>
    <t>2. Covered in stalactites (watch your head!).</t>
  </si>
  <si>
    <t>3. Smooth as glass.</t>
  </si>
  <si>
    <t>4. Rough and jagged.</t>
  </si>
  <si>
    <t>5. Connected to the floor by natural columns.</t>
  </si>
  <si>
    <t>6. So high it’s difficult to see.</t>
  </si>
  <si>
    <t>d6 Hazards/Obstacles: You find...</t>
  </si>
  <si>
    <t>1. A colony of poisonous mushrooms.</t>
  </si>
  <si>
    <t>2. A patch of toxic mold.</t>
  </si>
  <si>
    <t>3. The ceiling caves in.</t>
  </si>
  <si>
    <t>4. Several rocks tumble down a sloped wall.</t>
  </si>
  <si>
    <t>5. The floor is very slippery.</t>
  </si>
  <si>
    <t>6. Your foot misses the floor as you step into a pit or chasm.</t>
  </si>
  <si>
    <t>d12 Travelers/Visitors: You come upon...</t>
  </si>
  <si>
    <t>1. An explorer (d4): 1. duergar; 2. goblin; 3. human; 4. kobold.</t>
  </si>
  <si>
    <t>2. An escaped slave (d6): 1. dwarf; 2. goblin; 3. gnome; 4. halfling; 5. human; 6. kobold.</t>
  </si>
  <si>
    <t>3. A forager (d4): 1. duergar; 2. goblin; 3. kobold; 4. orc.</t>
  </si>
  <si>
    <t>4. A fugitive criminal (d4): 1. heretic; 2. killer; 3. smuggler; 4. thief.</t>
  </si>
  <si>
    <t>5. A lost treasure hunter (d4): 1. dwarf; 2. half-elf; 3. high elf; 4. human.</t>
  </si>
  <si>
    <t>6. A mapmaker (d4): 1. dwarf; 2. goblin; 3. gnome; 4. svirfneblin.</t>
  </si>
  <si>
    <t>7. A messenger (d4): 1. dark elf; 2. goblin; 3. gnome; 4. svirfneblin.</t>
  </si>
  <si>
    <t>8. A miner (d6): 1. dwarf; 2. gnome; 3. goblin; 4. human; 5. kobold; 6. svirfneblin.</t>
  </si>
  <si>
    <t>9. A prospector (d4): 1. dwarf; 2. gnome; 3. human; 4. svirfneblin.</t>
  </si>
  <si>
    <t>10. A scout (d4): 1. dark elf; 2. goblin; 3. kobold; 4. orc.</t>
  </si>
  <si>
    <t>11. A soldier (d6): 1. dark elf; 2. duergar; 3. dwarf; 4. goblin; 5. kobold; 6. orc.</t>
  </si>
  <si>
    <t>12. A spy (d4): 1. dark elf; 2. duergar; 3. goblin; 4. kobold.</t>
  </si>
  <si>
    <t>Random Dungeon of Elemental Air</t>
  </si>
  <si>
    <t>d6 This place is a...</t>
  </si>
  <si>
    <t>1. Palace built by an air elemental lord.</t>
  </si>
  <si>
    <t>2. Series of caves in a floating earth mote.</t>
  </si>
  <si>
    <t>3. Series of deep tunnels with constant, howling wind.</t>
  </si>
  <si>
    <t>4. Stronghold built by beings of elemental air.</t>
  </si>
  <si>
    <t>5. Temple dedicated to a wind god.</t>
  </si>
  <si>
    <t>6. Maze of semi-solid clouds.</t>
  </si>
  <si>
    <t>d6 Ambient sounds: You hear a/an...</t>
  </si>
  <si>
    <t>1. Constant howl of wind.</t>
  </si>
  <si>
    <t>2. Constant rush of air.</t>
  </si>
  <si>
    <t>3. Constant monotone whistling.</t>
  </si>
  <si>
    <t>4. Eerie, shifting succession of musical chords.</t>
  </si>
  <si>
    <t>5. Intermittent clap of thunder.</t>
  </si>
  <si>
    <t>6. Flute playing somewhere.</t>
  </si>
  <si>
    <t>d6 Major feature: You see a/an...</t>
  </si>
  <si>
    <t>1. Intersection with swiftly shifting winds.</t>
  </si>
  <si>
    <t>2. Large cloud sculpture.</t>
  </si>
  <si>
    <t>3. Shimmering, eerie fog.</t>
  </si>
  <si>
    <t>4. Barrel of feathered arrows.</t>
  </si>
  <si>
    <t>5. Altar to a wind god.</t>
  </si>
  <si>
    <t>6. Tremendous beanstalk or staircase descending far below where you stand.</t>
  </si>
  <si>
    <t>d6 Minor feature: You notice a/an...</t>
  </si>
  <si>
    <t>1. Small cloud shaped like an animal.</t>
  </si>
  <si>
    <t>2. Floating lamp.</t>
  </si>
  <si>
    <t>3. Icon of a wind god.</t>
  </si>
  <si>
    <t>4. Rush of cool air.</t>
  </si>
  <si>
    <t>5. Sudden shrill whistle in the distance.</t>
  </si>
  <si>
    <t>6. Swirl of dust.</t>
  </si>
  <si>
    <t>d6 NPC: You meet a/an…</t>
  </si>
  <si>
    <t>1. Ghost of an unfortunate explorer.</t>
  </si>
  <si>
    <t>2. Half-mad elemental cultist.</t>
  </si>
  <si>
    <t>3. Nervous beastshifter (roll on beast table).</t>
  </si>
  <si>
    <t>4. Contemplative monk.</t>
  </si>
  <si>
    <t>5. Interplanar traveler.</t>
  </si>
  <si>
    <t>6. Inventor with a flying contraption.</t>
  </si>
  <si>
    <t>d6 Beast: You meet a/an…</t>
  </si>
  <si>
    <t>1. Raven.</t>
  </si>
  <si>
    <t>2. Bat.</t>
  </si>
  <si>
    <t>3. Hawk.</t>
  </si>
  <si>
    <t>4. Giant bee.</t>
  </si>
  <si>
    <t>5. Pterodactyl.</t>
  </si>
  <si>
    <t>6. Swarm of moths.</t>
  </si>
  <si>
    <t>d6 Secondary Monster: You come upon a/an…</t>
  </si>
  <si>
    <t>1. Air elemental.</t>
  </si>
  <si>
    <t>2. Arrowhawk.</t>
  </si>
  <si>
    <t>3. Invisible stalker.</t>
  </si>
  <si>
    <t>4. Wyvern.</t>
  </si>
  <si>
    <t>5. Spectre.</t>
  </si>
  <si>
    <t>6. Roc.</t>
  </si>
  <si>
    <t>d6 Primary monster: This place is currently ruled by a/an…</t>
  </si>
  <si>
    <t>1. Djinn prince.</t>
  </si>
  <si>
    <t>2. Cloud giant.</t>
  </si>
  <si>
    <t>3. Giant eagle.</t>
  </si>
  <si>
    <t>4. Evil entropomancer.</t>
  </si>
  <si>
    <t>5. Beholder.</t>
  </si>
  <si>
    <t>6. Wraith.</t>
  </si>
  <si>
    <t>d6 Traps/hazard: You must survive the…</t>
  </si>
  <si>
    <t>1. Trap door to a tremendous fall.</t>
  </si>
  <si>
    <t>2. Poisoned dart trap.</t>
  </si>
  <si>
    <t>3. Magic crossbow turret trap.</t>
  </si>
  <si>
    <t>4. Runes that explode in bursts of lightning.</t>
  </si>
  <si>
    <t>5. Sealing chamber that turns into a vacuum.</t>
  </si>
  <si>
    <t>6. Curse of listlessness.</t>
  </si>
  <si>
    <t>d6 Reward/treasure: If you survive, you may find a/an...</t>
  </si>
  <si>
    <t>1. Infamous giant’s treasure hoard.</t>
  </si>
  <si>
    <t>2. Wreck of a legendary airship.</t>
  </si>
  <si>
    <t>3. Rod of elemental power.</t>
  </si>
  <si>
    <t>4. Bow that belonged to an ancient hero.</t>
  </si>
  <si>
    <t>5. Powerful wizard’s lost spellbook.</t>
  </si>
  <si>
    <t>6. Imprisoned dragon.</t>
  </si>
  <si>
    <t>Random Dungeon of Elemental Earth</t>
  </si>
  <si>
    <t>1. Palace built by an earth elemental lord.</t>
  </si>
  <si>
    <t>2. Temple dedicated to an earth god.</t>
  </si>
  <si>
    <t>3. Stronghold built by beings of elemental earth.</t>
  </si>
  <si>
    <t>4. Series of unstable tunnels deep below ground.</t>
  </si>
  <si>
    <t>5. Labyrinth of solid rock.</t>
  </si>
  <si>
    <t>6. Mining operation gone wrong.</t>
  </si>
  <si>
    <t>d6 Floor/terrain: You frequently step on...</t>
  </si>
  <si>
    <t>1. Slippery dust.</t>
  </si>
  <si>
    <t>2. Boot-sucking mud.</t>
  </si>
  <si>
    <t>3. Loose rubble.</t>
  </si>
  <si>
    <t>4. Smooth gravel.</t>
  </si>
  <si>
    <t>5. Jagged rocks.</t>
  </si>
  <si>
    <t>6. Sharp metal spikes.</t>
  </si>
  <si>
    <t>1. Stone monolith.</t>
  </si>
  <si>
    <t>2. Altar to an earth god</t>
  </si>
  <si>
    <t>3. Statue of a figure made of stone or iron.</t>
  </si>
  <si>
    <t>4. Natural bridge of stone.</t>
  </si>
  <si>
    <t>5. Series of stone columns.</t>
  </si>
  <si>
    <t>6. Deep chasm.</t>
  </si>
  <si>
    <t>1. Small stone statue.</t>
  </si>
  <si>
    <t>2. Icon of an earth god.</t>
  </si>
  <si>
    <t>3. Stalactite.</t>
  </si>
  <si>
    <t>4. Brief tremor.</t>
  </si>
  <si>
    <t>5. Distant rumbling sound.</t>
  </si>
  <si>
    <t>1. Ghost of an unlucky treasure hunter.</t>
  </si>
  <si>
    <t>3. Dwarvish prospector.</t>
  </si>
  <si>
    <t>4. Brooding monk.</t>
  </si>
  <si>
    <t>5. Dark elf wanderer.</t>
  </si>
  <si>
    <t>6. Inventor of a digging contraption.</t>
  </si>
  <si>
    <t>1. Giant mole.</t>
  </si>
  <si>
    <t>2. Swarm of rats.</t>
  </si>
  <si>
    <t>3. Giant centipede.</t>
  </si>
  <si>
    <t>4. Giant ant.</t>
  </si>
  <si>
    <t>5. Giant earthworm.</t>
  </si>
  <si>
    <t>6. Sludgy ooze.</t>
  </si>
  <si>
    <t>1. Earth elemental.</t>
  </si>
  <si>
    <t>2. Rust monster.</t>
  </si>
  <si>
    <t>3. Xorn.</t>
  </si>
  <si>
    <t>4. Galeb duhr.</t>
  </si>
  <si>
    <t>5. Zombie.</t>
  </si>
  <si>
    <t>6. Otyugh.</t>
  </si>
  <si>
    <t>1. Dao prince.</t>
  </si>
  <si>
    <t>2. Stone giant.</t>
  </si>
  <si>
    <t>3. Ancient dragon.</t>
  </si>
  <si>
    <t>4. Powerful geomancer.</t>
  </si>
  <si>
    <t>5. Lich.</t>
  </si>
  <si>
    <t>6. Grick alpha.</t>
  </si>
  <si>
    <t>1. Pits of stinking mud.</t>
  </si>
  <si>
    <t>2. Crushing walls trap.</t>
  </si>
  <si>
    <t>3. Kissing maidens trap.</t>
  </si>
  <si>
    <t>4. Spears-from-the-floor trap.</t>
  </si>
  <si>
    <t>5. Crumbling bridges and arches.</t>
  </si>
  <si>
    <t>6. Collapsing ceilings.</t>
  </si>
  <si>
    <t>1. Notorious necromancer’s spellbook.</t>
  </si>
  <si>
    <t>2. Orb of elemental power.</t>
  </si>
  <si>
    <t>3. Storied vein of precious ore (gold, platinum, adamantine, or mithral).</t>
  </si>
  <si>
    <t>4. Diamond of dwarvish legend.</t>
  </si>
  <si>
    <t>5. Hammer wielded by a godlike warrior.</t>
  </si>
  <si>
    <t>6. Captive demon.</t>
  </si>
  <si>
    <t>Random Dungeon of Elemental Fire</t>
  </si>
  <si>
    <t>1. Volcanic mountain.</t>
  </si>
  <si>
    <t>2. Series of geothermal vents deep underground.</t>
  </si>
  <si>
    <t>3. Stronghold built by beings of flame.</t>
  </si>
  <si>
    <t>4. Temple dedicated to a fiery god.</t>
  </si>
  <si>
    <t>5. Palace built by a fire elemental lord.</t>
  </si>
  <si>
    <t>6. Enormous forge or armory gone wrong.</t>
  </si>
  <si>
    <t>d6 Air quality: The air in the chambers in here is…</t>
  </si>
  <si>
    <t>1. Filled with choking ash.</t>
  </si>
  <si>
    <t>2. Filled with hot ash.</t>
  </si>
  <si>
    <t>3. Filled with choking smoke.</t>
  </si>
  <si>
    <t>4. Filled with dark smoke.</t>
  </si>
  <si>
    <t>5. Uncomfortably hot.</t>
  </si>
  <si>
    <t>6. Filled with poisonous gas.</t>
  </si>
  <si>
    <t>1. Over-sized brazier.</t>
  </si>
  <si>
    <t>2. Large iron sculpture.</t>
  </si>
  <si>
    <t>3. Altar to a fiery god.</t>
  </si>
  <si>
    <t>4. Rack of iron spears or steel scimitars.</t>
  </si>
  <si>
    <t>5. Charred skeleton of a mortal.</t>
  </si>
  <si>
    <t>6. Fountain of smoke and flame.</t>
  </si>
  <si>
    <t>1. Wisp of smoke.</t>
  </si>
  <si>
    <t>2. Scent of brimstone.</t>
  </si>
  <si>
    <t>3. Icon of a fiery god.</t>
  </si>
  <si>
    <t>4. Charred wooden object.</t>
  </si>
  <si>
    <t>5. Scorch marks on the wall.</t>
  </si>
  <si>
    <t>6. Iron wall sconce with a torch.</t>
  </si>
  <si>
    <t>1. Half-mad elemental cultist.</t>
  </si>
  <si>
    <t>2. Escaped mortal slave.</t>
  </si>
  <si>
    <t>3. Intrepid dwarvish prospector.</t>
  </si>
  <si>
    <t>4. Wayward warlock.</t>
  </si>
  <si>
    <t>5. Hermetic monk.</t>
  </si>
  <si>
    <t>6. Half-fiend scholar.</t>
  </si>
  <si>
    <t>d6 Beast: You meet a…</t>
  </si>
  <si>
    <t>1. Fire bat.</t>
  </si>
  <si>
    <t>2. Swarm of fire beetles.</t>
  </si>
  <si>
    <t>3. Flame drake.</t>
  </si>
  <si>
    <t>4. Fiendish hyena.</t>
  </si>
  <si>
    <t>5. Flame snake.</t>
  </si>
  <si>
    <t>6. Fiendish stirge.</t>
  </si>
  <si>
    <t>d6 Secondary monster: You come upon a/an…</t>
  </si>
  <si>
    <t>1. Azer.</t>
  </si>
  <si>
    <t>2. Gnoll.</t>
  </si>
  <si>
    <t>3. Fire elemental.</t>
  </si>
  <si>
    <t>4. Hell hound.</t>
  </si>
  <si>
    <t>5. Salamander.</t>
  </si>
  <si>
    <t>6. Flaming skeleton.</t>
  </si>
  <si>
    <t>1. Scheming devil.</t>
  </si>
  <si>
    <t>2. Efreet prince.</t>
  </si>
  <si>
    <t>3. Fire demon.</t>
  </si>
  <si>
    <t>4. Fire giant.</t>
  </si>
  <si>
    <t>5. Evil pyromancer.</t>
  </si>
  <si>
    <t>6. Red dragon.</t>
  </si>
  <si>
    <t>1. Sealing chamber that fills with poisonous gas.</t>
  </si>
  <si>
    <t>2. Sudden and sporadic walls of flame.</t>
  </si>
  <si>
    <t>3. Collapsing ceiling.</t>
  </si>
  <si>
    <t>4. Explosive bursts of fire and rock.</t>
  </si>
  <si>
    <t>5. False-floor pit trap.</t>
  </si>
  <si>
    <t>6. Whirling blades trap.</t>
  </si>
  <si>
    <t>1. Notorious bandit’s treasure hoard.</t>
  </si>
  <si>
    <t>2. Wand of elemental power.</t>
  </si>
  <si>
    <t>3. Ancient weapon forged of fire and steel.</t>
  </si>
  <si>
    <t>4. Crystal that offers glimpses of the future.</t>
  </si>
  <si>
    <t>5. Genie bound to a lamp.</t>
  </si>
  <si>
    <t>6. Captive phoenix.</t>
  </si>
  <si>
    <t>Random Dungeon of Elemental Water</t>
  </si>
  <si>
    <t>1. Sea cave.</t>
  </si>
  <si>
    <t>2. Series of flooded tunnels deep underground.</t>
  </si>
  <si>
    <t>3. Stronghold built by aquatic beings.</t>
  </si>
  <si>
    <t>4. Temple dedicated to a watery god.</t>
  </si>
  <si>
    <t>5. Palace built by a water elemental lord.</t>
  </si>
  <si>
    <t>6. Sewer gone wrong.</t>
  </si>
  <si>
    <t>d6 Water level: The chambers in this place...</t>
  </si>
  <si>
    <t>1. Are always flooded up to the ceiling.</t>
  </si>
  <si>
    <t>2. Are always flooded in the lower levels.</t>
  </si>
  <si>
    <t>3. Are always flooded up to the waist.</t>
  </si>
  <si>
    <t>4. Fill with water at high tide.</t>
  </si>
  <si>
    <t>5. Fill with water seasonally.</t>
  </si>
  <si>
    <t>6. Fill with water at the whim of an elemental lord.</t>
  </si>
  <si>
    <t>1. Air pocket.</t>
  </si>
  <si>
    <t>2. Altar to a watery god.</t>
  </si>
  <si>
    <t>3. Heavy chest.</t>
  </si>
  <si>
    <t>4. Rack of harpoons and/or spears.</t>
  </si>
  <si>
    <t>5. Skeleton of a drowned mortal.</t>
  </si>
  <si>
    <t>6. Teeming reef.</t>
  </si>
  <si>
    <t>d6 Minor feature: You see a...</t>
  </si>
  <si>
    <t>1. Little stream of bubbles.</t>
  </si>
  <si>
    <t>2. Icon of a watery god.</t>
  </si>
  <si>
    <t>3. Debris from a broken boat.</t>
  </si>
  <si>
    <t>4. School of fish.</t>
  </si>
  <si>
    <t>5. Ragged piece of cloth.</t>
  </si>
  <si>
    <t>6. Pocket of cool water.</t>
  </si>
  <si>
    <t>1. Smuggler’s ghost.</t>
  </si>
  <si>
    <t>2. Curious mermaid.</t>
  </si>
  <si>
    <t>3. Suspicious sea elf.</t>
  </si>
  <si>
    <t>4. Eccentric treasure hunter.</t>
  </si>
  <si>
    <t>5. Half-mad elemental cultist.</t>
  </si>
  <si>
    <t>6. Reclusive beastshifter (roll on beast table).</t>
  </si>
  <si>
    <t>1. Dolphin.</t>
  </si>
  <si>
    <t>2. Giant clam.</t>
  </si>
  <si>
    <t>3. Lobster.</t>
  </si>
  <si>
    <t>4. Octopus.</t>
  </si>
  <si>
    <t>5. Seal.</t>
  </si>
  <si>
    <t>6. Shark.</t>
  </si>
  <si>
    <t>1. Aberrant sea beast (roll on beast table).</t>
  </si>
  <si>
    <t>2. Swarm of crabs or carnivorous fish.</t>
  </si>
  <si>
    <t>3. Kuo-toa.</t>
  </si>
  <si>
    <t>4. Sahuagin.</t>
  </si>
  <si>
    <t>5. Sea hag.</t>
  </si>
  <si>
    <t>6. Water elemental.</t>
  </si>
  <si>
    <t>d6 Primary monster: This place is currently ruled by a…</t>
  </si>
  <si>
    <t>1. Aboleth.</t>
  </si>
  <si>
    <t>2. Blue dragon.</t>
  </si>
  <si>
    <t>3. Kraken.</t>
  </si>
  <si>
    <t>4. Maridan prince.</t>
  </si>
  <si>
    <t>5. Storm giant.</t>
  </si>
  <si>
    <t>6. Storm sorcerer.</t>
  </si>
  <si>
    <t>1. Electric eels.</t>
  </si>
  <si>
    <t>2. Poisonous jellyfish.</t>
  </si>
  <si>
    <t>3. Poisoned dart trap.</t>
  </si>
  <si>
    <t>4. Flooding airlock trap.</t>
  </si>
  <si>
    <t>5. Swirling currents.</t>
  </si>
  <si>
    <t>6. Curse of rotting death.</t>
  </si>
  <si>
    <t>d6 Reward/treasure: If you survive, you may find...</t>
  </si>
  <si>
    <t>1. Pirate captain’s hoard.</t>
  </si>
  <si>
    <t>2. Staff of elemental power.</t>
  </si>
  <si>
    <t>3. Ancient weapon forged of coral.</t>
  </si>
  <si>
    <t>4. Legendary gemstone lost at sea.</t>
  </si>
  <si>
    <t>5. Key to opening a portal to another realm.</t>
  </si>
  <si>
    <t>6. Captive mermaid princess.</t>
  </si>
  <si>
    <t>Random Feydark Cavern</t>
  </si>
  <si>
    <t>d6 Location: This cavern is located…</t>
  </si>
  <si>
    <t>1. Within the territory of a subterranean hobgoblin kingdom.</t>
  </si>
  <si>
    <t>2. Deep beneath an elvish palace.</t>
  </si>
  <si>
    <t>3. Far below an ancient elvish ruin.</t>
  </si>
  <si>
    <t>4. Under a range of misty mountains.</t>
  </si>
  <si>
    <t>5. Far below a thriving city.</t>
  </si>
  <si>
    <t>6. Deeper than any mortal has been known to go.</t>
  </si>
  <si>
    <t>1. Dark underground pond.</t>
  </si>
  <si>
    <t>2. Series of beautiful, natural columns.</t>
  </si>
  <si>
    <t>3. Pair of large stalactites that resemble fangs.</t>
  </si>
  <si>
    <t>4. Magically-crafted colonnade.</t>
  </si>
  <si>
    <t>5. Dense, swirling fog..</t>
  </si>
  <si>
    <t>6. Set of stone doors in an otherwise natural cavern.</t>
  </si>
  <si>
    <t>d6 Minor feature: You see a/an...</t>
  </si>
  <si>
    <t>1. Constant drip of water.</t>
  </si>
  <si>
    <t>2. Signpost warning all to turn back.</t>
  </si>
  <si>
    <t>3. Elvish writing scrawled on the cave wall.</t>
  </si>
  <si>
    <t>4. Pile of recently cleaned bones.</t>
  </si>
  <si>
    <t>5. Ring of brightly-colored mushrooms.</t>
  </si>
  <si>
    <t>6. Shimmering mist.</t>
  </si>
  <si>
    <t>d6 Light source: This cavern is lit by...</t>
  </si>
  <si>
    <t>1. Several floating, dim blue flames.</t>
  </si>
  <si>
    <t>2. Several heatless, white torches.</t>
  </si>
  <si>
    <t>3. Bright, green glowing fungi.</t>
  </si>
  <si>
    <t>4. Purplish-red phosphorescent mold.</t>
  </si>
  <si>
    <t>5. Shafts of light steered by shiny mirrors.</t>
  </si>
  <si>
    <t>6. Nothing at all; the cavern is pitch black.</t>
  </si>
  <si>
    <t>1. Hobgoblin soldier.</t>
  </si>
  <si>
    <t>2. Dark elf ranger.</t>
  </si>
  <si>
    <t>3. Gnomish explorer.</t>
  </si>
  <si>
    <t>4. Cruel satyr.</t>
  </si>
  <si>
    <t>5. Angry ghost.</t>
  </si>
  <si>
    <t>6. Escaped slave.</t>
  </si>
  <si>
    <t>1. Hook horror.</t>
  </si>
  <si>
    <t>2. Swarm of rats or worms.</t>
  </si>
  <si>
    <t>3. Phase spider.</t>
  </si>
  <si>
    <t>4. Giant centipede.</t>
  </si>
  <si>
    <t>5. Swarm of bats or moths.</t>
  </si>
  <si>
    <t>6. Talking beast (d6): 1. bat; 2. mole; 3. lizard; 4. rat; 5. spider; 6. giant toad.</t>
  </si>
  <si>
    <t>1. Bugbear thug.</t>
  </si>
  <si>
    <t>2. Cyclops guardian.</t>
  </si>
  <si>
    <t>3. Displacer beast.</t>
  </si>
  <si>
    <t>4. Hungry drider.</t>
  </si>
  <si>
    <t>5. Playful pseudodragon.</t>
  </si>
  <si>
    <t>6. Armored battle-wight.</t>
  </si>
  <si>
    <t>1. Aberrant creature (d6): 1. aboleth; 2. beholder; 3. grick; 4. mind flayer; 5. alhoon (lich); 6. flumph.</t>
  </si>
  <si>
    <t>2. Night hag.</t>
  </si>
  <si>
    <t>3. Baelnorn (lich).</t>
  </si>
  <si>
    <t>4. Fomorian torturer.</t>
  </si>
  <si>
    <t>5. Hobgoblin commander.</t>
  </si>
  <si>
    <t>6. Ancient dracolich.</t>
  </si>
  <si>
    <t>1. Curse of howling madness.</t>
  </si>
  <si>
    <t>2. Curse of nightmarish visions.</t>
  </si>
  <si>
    <t>3. Improvised, rolling boulder trap.</t>
  </si>
  <si>
    <t>4. Unstable ceilings.</t>
  </si>
  <si>
    <t>5. Slippery, mold-covered floors.</t>
  </si>
  <si>
    <t>6. Intermittent floods.</t>
  </si>
  <si>
    <t>d6 Reward/treasure: If you survive, you may find the...</t>
  </si>
  <si>
    <t>1. Sword of an ancient elvish king.</t>
  </si>
  <si>
    <t>2. Largest diamond in this or any other world.</t>
  </si>
  <si>
    <t>3. Spellbook of an eccentric illusionist.</t>
  </si>
  <si>
    <t>4. Captive elvish princess.</t>
  </si>
  <si>
    <t>5. Portal to another realm.</t>
  </si>
  <si>
    <t>6. Resting place of a legendary elvish hero.</t>
  </si>
  <si>
    <t>Random Feywild Dungeon</t>
  </si>
  <si>
    <t>d6 This place is a/an...</t>
  </si>
  <si>
    <t>1. Mystic cave.</t>
  </si>
  <si>
    <t>2. Maze of tall hedges.</t>
  </si>
  <si>
    <t>3. Series of pitch black tunnels.</t>
  </si>
  <si>
    <t>4. Forgotten tomb.</t>
  </si>
  <si>
    <t>5. Ruin of elvish construction.</t>
  </si>
  <si>
    <t>6. Series of interconnected earthy burrows.</t>
  </si>
  <si>
    <t>d6 This place is located…</t>
  </si>
  <si>
    <t>1. Near a hobgoblin stronghold.</t>
  </si>
  <si>
    <t>2. Beneath an elvish palace.</t>
  </si>
  <si>
    <t>3. Beneath an ancient elvish ruin.</t>
  </si>
  <si>
    <t>4. Deep within a forest or swamp.</t>
  </si>
  <si>
    <t>5. Beneath a city in the mortal world.</t>
  </si>
  <si>
    <t>6. In a remote mountain valley in the mortal world.</t>
  </si>
  <si>
    <t>1. Statue of an elvish hero.</t>
  </si>
  <si>
    <t>2. Altar dedicated to an elvish goddess.</t>
  </si>
  <si>
    <t>3. Mural depicting an ancient battlefield.</t>
  </si>
  <si>
    <t>5. Several curtains of silvery mists.</t>
  </si>
  <si>
    <t>6. Set of double doors carved with arcane symbols.</t>
  </si>
  <si>
    <t>1. Archery target.</t>
  </si>
  <si>
    <t>2. Small statue depicting several pixies.</t>
  </si>
  <si>
    <t>3. Rack of swords and spears.</t>
  </si>
  <si>
    <t>4. Nest of beautiful, speckled eggs.</t>
  </si>
  <si>
    <t>6. Handful of floating motes of lights.</t>
  </si>
  <si>
    <t>2. Elvish ranger.</t>
  </si>
  <si>
    <t>3. Gnomish herbalist.</t>
  </si>
  <si>
    <t>4. Dancing pixie.</t>
  </si>
  <si>
    <t>5. Sorrowful dryad.</t>
  </si>
  <si>
    <t>6. Rowdy satyr.</t>
  </si>
  <si>
    <t>1. Blink dog.</t>
  </si>
  <si>
    <t>2. Owlbear.</t>
  </si>
  <si>
    <t>4. Swarm of frogs or rabbits.</t>
  </si>
  <si>
    <t>5. Swarm of bats or flies.</t>
  </si>
  <si>
    <t>6. Talking beast (d6): 1. bear; 2. eagle; 3. owl; 4. snake; 5. giant toad; 6. wolf.</t>
  </si>
  <si>
    <t>d6 Secondary Monster: You come upon…</t>
  </si>
  <si>
    <t>2. Cyclops.</t>
  </si>
  <si>
    <t>4. Ghostly warrior.</t>
  </si>
  <si>
    <t>5. Goblin sneak.</t>
  </si>
  <si>
    <t>6. Restless zombie.</t>
  </si>
  <si>
    <t>1. Bog hag.</t>
  </si>
  <si>
    <t>4. Sadistic witch.</t>
  </si>
  <si>
    <t>6. Charming dragon.</t>
  </si>
  <si>
    <t>1. Curse of unstoppable dancing.</t>
  </si>
  <si>
    <t>2. Curse of dreamless sleep.</t>
  </si>
  <si>
    <t>3. Curse of nightmarish visions.</t>
  </si>
  <si>
    <t>4. Spiked pit trap.</t>
  </si>
  <si>
    <t>5. Illusory treasure hoard.</t>
  </si>
  <si>
    <t>6. Poisoned arrow traps.</t>
  </si>
  <si>
    <t>1. Crown of an ancient elvish queen.</t>
  </si>
  <si>
    <t>2. Sword of an infamous hobgoblin king.</t>
  </si>
  <si>
    <t>3. Spellbook of a dangerous necromancer.</t>
  </si>
  <si>
    <t>4. Notebooks from a brilliant alchemist’s laboratory.</t>
  </si>
  <si>
    <t>5. Crystal of a celebrated seeress.</t>
  </si>
  <si>
    <t>6. Helm of a legendary elvish hero.</t>
  </si>
  <si>
    <t>Random Icy Dungeon</t>
  </si>
  <si>
    <t>1. Icy cave.</t>
  </si>
  <si>
    <t>2. Series of half-flooded tunnels deep beneath a glacier.</t>
  </si>
  <si>
    <t>3. Stronghold built by an ancient military order.</t>
  </si>
  <si>
    <t>4. Temple dedicated to a winter god.</t>
  </si>
  <si>
    <t>5. Palace built by an elf queen of winter.</t>
  </si>
  <si>
    <t>6. Abandoned mine beneath a frozen mountain.</t>
  </si>
  <si>
    <t>d6 Cold hazard: The chambers in this place...</t>
  </si>
  <si>
    <t>1. Periodically flood with icy cold water.</t>
  </si>
  <si>
    <t>2. Are always flooded with knee-deep icy water.</t>
  </si>
  <si>
    <t>3. Are exposed to blasts of frigid wind.</t>
  </si>
  <si>
    <t>4. Have floors covered with a slippery icy rime.</t>
  </si>
  <si>
    <t>5. Have doors that are often frozen shut.</t>
  </si>
  <si>
    <t>6. Occasionally fill with deep snow drifts.</t>
  </si>
  <si>
    <t>1. Frozen stream or waterfall.</t>
  </si>
  <si>
    <t>2. Altar to a wintry god.</t>
  </si>
  <si>
    <t>3. Beautiful wall of glass-like ice.</t>
  </si>
  <si>
    <t>5. Corpse of a frozen mortal.</t>
  </si>
  <si>
    <t>6. Intricate ice sculpture.</t>
  </si>
  <si>
    <t>1. Series of long icicles.</t>
  </si>
  <si>
    <t>2. Ancient cave painting or similar motif.</t>
  </si>
  <si>
    <t>3. Abandoned firepit.</t>
  </si>
  <si>
    <t>4. Discarded pile of bones.</t>
  </si>
  <si>
    <t>6. Frozen pool.</t>
  </si>
  <si>
    <t>1. Prospector’s ghost.</t>
  </si>
  <si>
    <t>2. Lonely dwarf.</t>
  </si>
  <si>
    <t>3. Suspicious beasthunter.</t>
  </si>
  <si>
    <t>4. Dangerous fugitive.</t>
  </si>
  <si>
    <t>5. Lost fisherman.</t>
  </si>
  <si>
    <t>6. Half-savage beastshifter (roll on beast table).</t>
  </si>
  <si>
    <t>1. Bear.</t>
  </si>
  <si>
    <t>2. Elk.</t>
  </si>
  <si>
    <t>3. Owl.</t>
  </si>
  <si>
    <t>4. Ox.</t>
  </si>
  <si>
    <t>5. Rabbit.</t>
  </si>
  <si>
    <t>6. Wolf.</t>
  </si>
  <si>
    <t>1. Fey winter beast (roll on beast table).</t>
  </si>
  <si>
    <t>2. Ice elemental.</t>
  </si>
  <si>
    <t>3. Owlbear.</t>
  </si>
  <si>
    <t>4. Swarm of rats.</t>
  </si>
  <si>
    <t>5. Troll.</t>
  </si>
  <si>
    <t>6. Wight.</t>
  </si>
  <si>
    <t>1. Archlich.</t>
  </si>
  <si>
    <t>2. Barbarian warlord.</t>
  </si>
  <si>
    <t>3. Frost giant.</t>
  </si>
  <si>
    <t>4. Sleeping aberrant presence.</t>
  </si>
  <si>
    <t>5. Dragon.</t>
  </si>
  <si>
    <t>6. Winter hag.</t>
  </si>
  <si>
    <t>1. Slippery bridges spanning icy chasms.</t>
  </si>
  <si>
    <t>2. Steel snapping jaws trap.</t>
  </si>
  <si>
    <t>3. Hunting snare traps.</t>
  </si>
  <si>
    <t>4. Whiteout conditions.</t>
  </si>
  <si>
    <t>5. Falling ice.</t>
  </si>
  <si>
    <t>6. Curse of sleeping death.</t>
  </si>
  <si>
    <t>1. Famous explorer’s treasure hoard.</t>
  </si>
  <si>
    <t>2. Staff of wintry power.</t>
  </si>
  <si>
    <t>3. Ancient weapon forged of living ice.</t>
  </si>
  <si>
    <t>4. Legendary gemstone lost in a terrible blizzard.</t>
  </si>
  <si>
    <t>5. Map to an ancient temple.</t>
  </si>
  <si>
    <t>6. Captive barbarian princess.  </t>
  </si>
  <si>
    <t>Random Infernal Dungeon</t>
  </si>
  <si>
    <t>2. Stone labyrinth.</t>
  </si>
  <si>
    <t>3. Series of dark, steamy tunnels.</t>
  </si>
  <si>
    <t>4. Iron-walled storage vault.</t>
  </si>
  <si>
    <t>5. Evil temple or monastery.</t>
  </si>
  <si>
    <t>6. Inescapable prison.</t>
  </si>
  <si>
    <t>1. Near an infernal gate.</t>
  </si>
  <si>
    <t>2. Beneath an infernal palace.</t>
  </si>
  <si>
    <t>3. At the edge of an infernal realm.</t>
  </si>
  <si>
    <t>4. Deep within an infernal realm.</t>
  </si>
  <si>
    <t>6. In a remote location in the mortal world.</t>
  </si>
  <si>
    <t>1. Evil altar.</t>
  </si>
  <si>
    <t>2. Magically-crafted colonnade.</t>
  </si>
  <si>
    <t>3. Large relief depicting twisted humanoids.</t>
  </si>
  <si>
    <t>4. Mural depicting skeletons and flames.</t>
  </si>
  <si>
    <t>5. Nest belonging to some sort of beast.</t>
  </si>
  <si>
    <t>6. Set of double doors carved to resemble the mouth of a great beast.</t>
  </si>
  <si>
    <t>1. Icon to an evil god.</t>
  </si>
  <si>
    <t>2. Small statue of an imp or gargoyle.</t>
  </si>
  <si>
    <t>3. Pile of twisted bones.</t>
  </si>
  <si>
    <t>4. Row of chains and shackles.</t>
  </si>
  <si>
    <t>5. Rack of implements of torture.</t>
  </si>
  <si>
    <t>6. Creepy chandelier or wall sconce.</t>
  </si>
  <si>
    <t>1. Hapless prisoner.</t>
  </si>
  <si>
    <t>2. Enslaved soul.</t>
  </si>
  <si>
    <t>3. Fast-talking imp.</t>
  </si>
  <si>
    <t>4. Patrolling spined devil.</t>
  </si>
  <si>
    <t>5. Enterprising warlock.</t>
  </si>
  <si>
    <t>6. Sycophantic cultist.</t>
  </si>
  <si>
    <t>1. Bat.</t>
  </si>
  <si>
    <t>2. Raven.</t>
  </si>
  <si>
    <t>3. Scorpion.</t>
  </si>
  <si>
    <t>4. Serpent.</t>
  </si>
  <si>
    <t>5. Stirge.</t>
  </si>
  <si>
    <t>1. Bearded devil.</t>
  </si>
  <si>
    <t>2. Chain devil.</t>
  </si>
  <si>
    <t>3. Horned devil.</t>
  </si>
  <si>
    <t>4. Erinyes.</t>
  </si>
  <si>
    <t>5. Hell hound.</t>
  </si>
  <si>
    <t>6. Nightmare.</t>
  </si>
  <si>
    <t>1. Half-fiend vampire lord.</t>
  </si>
  <si>
    <t>2. Ascendant dark sorceress.</t>
  </si>
  <si>
    <t>3. Especially clever ice devil.</t>
  </si>
  <si>
    <t>4. Particularly ambitious pit fiend.</t>
  </si>
  <si>
    <t>5. Fiendish dragon.</t>
  </si>
  <si>
    <t>6. Infernal prince.</t>
  </si>
  <si>
    <t>1. Scything blades.</t>
  </si>
  <si>
    <t>2. Poisonous gas.</t>
  </si>
  <si>
    <t>3. Nauseating fumes.</t>
  </si>
  <si>
    <t>4. Erupting spouts of fire.</t>
  </si>
  <si>
    <t>5. Rivers of flame.</t>
  </si>
  <si>
    <t>6. Spiked portcullis traps.</t>
  </si>
  <si>
    <t>1. Flaming longsword.</t>
  </si>
  <si>
    <t>2. Unbreakable helm.</t>
  </si>
  <si>
    <t>3. Tome of infernal summoning.</t>
  </si>
  <si>
    <t>4. Rod of shadow and death.</t>
  </si>
  <si>
    <t>5. Vast collection of soul gems.</t>
  </si>
  <si>
    <t>6. Imprisoned ancient hero.</t>
  </si>
  <si>
    <t>Random Mage's Tower</t>
  </si>
  <si>
    <t>d10 The master of this tower is...</t>
  </si>
  <si>
    <t>1. An elven sorceress.</t>
  </si>
  <si>
    <t>2. A terrifying witch.</t>
  </si>
  <si>
    <t>3. A creepy necromancer.</t>
  </si>
  <si>
    <t>4. A mystic seer.</t>
  </si>
  <si>
    <t>5. A long-bearded sage.</t>
  </si>
  <si>
    <t>6. A half-mad elementalist.</t>
  </si>
  <si>
    <t>7. A legendary conjurer.</t>
  </si>
  <si>
    <t>8. A retired explorer.</t>
  </si>
  <si>
    <t>9. The leader of a cabal of tricky witches.</t>
  </si>
  <si>
    <t>10. The head of a secret society of wizards.</t>
  </si>
  <si>
    <t>d10 The tower's shape is approximately that of...</t>
  </si>
  <si>
    <t>1. A cylinder.</t>
  </si>
  <si>
    <t>2. A pyramid.</t>
  </si>
  <si>
    <t>3. A stepped pyramid.</t>
  </si>
  <si>
    <t>4. A cone.</t>
  </si>
  <si>
    <t>5. A triangular prism.</t>
  </si>
  <si>
    <t>6. A rectangular prism.</t>
  </si>
  <si>
    <t>7. A pentagonal prism.</t>
  </si>
  <si>
    <t>8. A hexagonal prism.</t>
  </si>
  <si>
    <t>9. An octagonal prism.</t>
  </si>
  <si>
    <t>10. An icosahedron.</t>
  </si>
  <si>
    <t>d10 The tower is built of...</t>
  </si>
  <si>
    <t>1. Clay bricks.</t>
  </si>
  <si>
    <t>2. Limestone.</t>
  </si>
  <si>
    <t>3. Sandstone.</t>
  </si>
  <si>
    <t>4. Marble.</t>
  </si>
  <si>
    <t>5. Obsidian.</t>
  </si>
  <si>
    <t>6. Enchanted wood.</t>
  </si>
  <si>
    <t>7. Crystal.</t>
  </si>
  <si>
    <t>8. Bones.</t>
  </si>
  <si>
    <t>9. Granite.</t>
  </si>
  <si>
    <t>10. Solid gold.</t>
  </si>
  <si>
    <t>d10 The exterior of the tower features...</t>
  </si>
  <si>
    <t>1. Spider webs.</t>
  </si>
  <si>
    <t>2. Ooze.</t>
  </si>
  <si>
    <t>3. Fruit-bearing vines.</t>
  </si>
  <si>
    <t>4. Thorny vines.</t>
  </si>
  <si>
    <t>5. Extensive repairs.</t>
  </si>
  <si>
    <t>6. Ancient hieroglyphs.</t>
  </si>
  <si>
    <t>7. Arcane runes.</t>
  </si>
  <si>
    <t>8. Steel plates.</t>
  </si>
  <si>
    <t>9. Scorch marks.</t>
  </si>
  <si>
    <t>10. Scratch marks.</t>
  </si>
  <si>
    <t>d10 The tower's entrance is guarded by...</t>
  </si>
  <si>
    <t>1. An ill-tempered dragon.</t>
  </si>
  <si>
    <t>2. A watchful golem (d6): 1. bone; 2. chain; 3. clay; 4. flesh; 5. iron; 6. stone.</t>
  </si>
  <si>
    <t>3. An angry giant (d6): 1. eldritch; 2. fire; 3. frost; 4. shadow; 5. stone; 6. storm.</t>
  </si>
  <si>
    <t>4. Cruel gargoyles.</t>
  </si>
  <si>
    <t>5. Terrifying elementals (d6): 1. air; 2. earth; 3. fire; 4. ice; 5. storm; 6. water.</t>
  </si>
  <si>
    <t>6. Undead minions (d6): 1. ghosts; 2. ghouls; 3. phantom warriors; 4. spectres; 5. wights; 6. zombies.</t>
  </si>
  <si>
    <t>7. Devious traps.</t>
  </si>
  <si>
    <t>8. A cunning sphinx.</t>
  </si>
  <si>
    <t>9. A ferocious, talking beast (d6): 1. bear; 2. griffon; 3. eagle; 4. lion; 5. serpent; 6. wolf.</t>
  </si>
  <si>
    <t>10. A menacing, tentacled beast.</t>
  </si>
  <si>
    <t>d10 The most well-protected room in the tower is...</t>
  </si>
  <si>
    <t>1. The mage's laboratory.</t>
  </si>
  <si>
    <t>2. The mage's library.</t>
  </si>
  <si>
    <t>3. The mage's bedchamber.</t>
  </si>
  <si>
    <t>4. The mage's wine cellar.</t>
  </si>
  <si>
    <t>5. The mage's treasure vault.</t>
  </si>
  <si>
    <t>6. A chamber specially prepared for divination rituals.</t>
  </si>
  <si>
    <t>7. A chamber specially prepared for summoning rituals.</t>
  </si>
  <si>
    <t>8. A chamber specially prepared for magical duels.</t>
  </si>
  <si>
    <t>9. An inescapable prison.</t>
  </si>
  <si>
    <t>10. The crypt of someone important to the mage (d6): 1. master; 2. teacher; 3. child; 4. parent; 5. lover; 6. vanquished rival.</t>
  </si>
  <si>
    <t>d10 The room is protected by...</t>
  </si>
  <si>
    <t>1. A gauntlet of mechanical traps.</t>
  </si>
  <si>
    <t>2. A series of sophisticated magical traps.</t>
  </si>
  <si>
    <t>3. An exploding ward.</t>
  </si>
  <si>
    <t>4. A powerful charm that makes it easy to ignore.</t>
  </si>
  <si>
    <t>5. A powerful charm that makes it impossible for intruders to open the door.</t>
  </si>
  <si>
    <t>6. Illusions that make it difficult to find the door.</t>
  </si>
  <si>
    <t>7. A powerful curse that frightens those who approach the door.</t>
  </si>
  <si>
    <t>8. A powerful curse that causes pain in those who approach the door.</t>
  </si>
  <si>
    <t>9. An indefatigable construct.</t>
  </si>
  <si>
    <t>10. A bound guardian (d6): 1. devil; 2. demon; 3. elemental; 4. enchanted beast; 5. troll; 6. wraith.</t>
  </si>
  <si>
    <t>d10 Rumor has it that within the walls of the tower, the mage keeps...</t>
  </si>
  <si>
    <t>1. The weapon of a storied hero.</t>
  </si>
  <si>
    <t>2. The staff of an infamous sorcerer or necromancer.</t>
  </si>
  <si>
    <t>3. The wand of a famous witch or wizard.</t>
  </si>
  <si>
    <t>4. The spellbook of a notorious magic-user.</t>
  </si>
  <si>
    <t>5. The artifacts of an elvish hero.</t>
  </si>
  <si>
    <t>6. Monstrosities of the mage's own creation.</t>
  </si>
  <si>
    <t>7. A legendary stone, mirror, or pool used for watching the world from afar.</t>
  </si>
  <si>
    <t>8. A fabled book of dangerous lore (d6): 1. demonology; 2. curses of undeath; 3. dream travel; 4. love and war; 5. planar portals; 6. vile darkness.</t>
  </si>
  <si>
    <t>9. An imprisoned being of terrible power (d6): 1. aberration; 2. devil; 3. demon; 4. djinni; 5. efreeti; 6. vampire lord.</t>
  </si>
  <si>
    <t>10. A captive princess.</t>
  </si>
  <si>
    <t>Random Mines: We Dig, Dig Dig...</t>
  </si>
  <si>
    <t>d20 The mine is a source of...</t>
  </si>
  <si>
    <t>1. Chalk.</t>
  </si>
  <si>
    <t>2. Coal.</t>
  </si>
  <si>
    <t>3. Copper.</t>
  </si>
  <si>
    <t>4. Gold.</t>
  </si>
  <si>
    <t>6. Lead.</t>
  </si>
  <si>
    <t>7. Lime.</t>
  </si>
  <si>
    <t>8. Nickel.</t>
  </si>
  <si>
    <t>9. Platinum.</t>
  </si>
  <si>
    <t>10. Salt.</t>
  </si>
  <si>
    <t>11. Silver.</t>
  </si>
  <si>
    <t>12. Zinc.</t>
  </si>
  <si>
    <t>13. Diamonds.</t>
  </si>
  <si>
    <t>14. Emeralds.</t>
  </si>
  <si>
    <t>15. Jade.</t>
  </si>
  <si>
    <t>16. Rubies.</t>
  </si>
  <si>
    <t>17. Sapphires.</t>
  </si>
  <si>
    <t>18. Turquoise.</t>
  </si>
  <si>
    <t>19. Other gems (d6): 1. amethyst; 2. aquamarine; 3. garnet; 4. opal; 5. peridot; 6. tanzanite; 7. topaz, 8. zirconium.</t>
  </si>
  <si>
    <t>20. An especially rare metal (d3): 1. adamantine; 2. mithral; 3. orium.</t>
  </si>
  <si>
    <t>d12 Entrance: The mine’s entrance is...</t>
  </si>
  <si>
    <t>1. Up a winding trail from a camp or village.</t>
  </si>
  <si>
    <t>2. Up a steep trail from a camp or village.</t>
  </si>
  <si>
    <t>3. A wide, natural cave mouth.</t>
  </si>
  <si>
    <t>4. A wide open pit.</t>
  </si>
  <si>
    <t>5. An easy to spot, narrow passage.</t>
  </si>
  <si>
    <t>6. A steep, slippery sloped tunnel.</t>
  </si>
  <si>
    <t>7. A tunnel reinforced with wood beams.</t>
  </si>
  <si>
    <t>8. A partially collapsed tunnel, impassable without excavation.</t>
  </si>
  <si>
    <t>9. Marked with several signs.</t>
  </si>
  <si>
    <t>12. Difficult to access (d4): 1. up or down a cliff face; 2. down a deep hole; 3. un an underwater tunnel; 4. through an illusory rock or wall.</t>
  </si>
  <si>
    <t>d6 Most of the mine is...</t>
  </si>
  <si>
    <t>1. A sprawling maze of twisting tunnels.</t>
  </si>
  <si>
    <t>2. A sprawling maze of narrow tunnels.</t>
  </si>
  <si>
    <t>3. A series of tunnels connecting large natural caverns.</t>
  </si>
  <si>
    <t>4. A wide open-pit quarry.</t>
  </si>
  <si>
    <t>5. A series of tunnels connecting large open pits or sinkholes.</t>
  </si>
  <si>
    <t>6. A sprawling maze of open trenches.</t>
  </si>
  <si>
    <t>d8 Material excavated from the mine is...</t>
  </si>
  <si>
    <t>1. Floated on rafts down a stream or river.</t>
  </si>
  <si>
    <t>2. Hauled out on pack mules.</t>
  </si>
  <si>
    <t>3. Hauled out on mule-drawn carts.</t>
  </si>
  <si>
    <t>4. Hauled out on sure-footed ponies.</t>
  </si>
  <si>
    <t>5. Hauled out on ox-drawn carts.</t>
  </si>
  <si>
    <t>6. Hauled out on the backs of uncommon beasts of burden (d4): 1. bears; 2. giant lizards; 3. goats; 4. undead horses.</t>
  </si>
  <si>
    <t>7. Rolled out in single mine carts.</t>
  </si>
  <si>
    <t>8. Rolled out in long trains of mine carts.</t>
  </si>
  <si>
    <t>d10 Hazards/Obstacles: You find...</t>
  </si>
  <si>
    <t>3. A sudden cave in.</t>
  </si>
  <si>
    <t>7. A heap of unstable explosives.</t>
  </si>
  <si>
    <t>8. A sudden explosion in another part of the mine shakes the floor.</t>
  </si>
  <si>
    <t>9. The floor is writhing with vermin (d4): 1. beetles; 2. centipedes; 3. rats; 4. spiders.</t>
  </si>
  <si>
    <t>10. The tunnel or trench is steadily flooding.</t>
  </si>
  <si>
    <t>d20 Denizens: If you dig deep, you’ll find...</t>
  </si>
  <si>
    <t>4. Drider.</t>
  </si>
  <si>
    <t>5. Fungi.</t>
  </si>
  <si>
    <t>6. Gargoyle.</t>
  </si>
  <si>
    <t>7. Ghosts.</t>
  </si>
  <si>
    <t>8. Gricks.</t>
  </si>
  <si>
    <t>9. Hook horror.</t>
  </si>
  <si>
    <t>10. Mimics.</t>
  </si>
  <si>
    <t>11. Myconids.</t>
  </si>
  <si>
    <t>12. Ooze.</t>
  </si>
  <si>
    <t>13. Otyugh.</t>
  </si>
  <si>
    <t>14. Piercer.</t>
  </si>
  <si>
    <t>15. Roper.</t>
  </si>
  <si>
    <t>16. Rust monster.</t>
  </si>
  <si>
    <t>17. Skeletons.</t>
  </si>
  <si>
    <t>18. Stirges.</t>
  </si>
  <si>
    <t>19. Umber hulk.</t>
  </si>
  <si>
    <t>20. Wraith.</t>
  </si>
  <si>
    <t>10. Severely out of place in this mine.</t>
  </si>
  <si>
    <t>d12 Neighbors: The miners complain of trouble from a nearby colony of...</t>
  </si>
  <si>
    <t>1. Cyclops.</t>
  </si>
  <si>
    <t>2. Duergar.</t>
  </si>
  <si>
    <t>3. Dwarves.</t>
  </si>
  <si>
    <t>4. Elves, dark.</t>
  </si>
  <si>
    <t>5. Gnomes, deep.</t>
  </si>
  <si>
    <t>6. Goblins.</t>
  </si>
  <si>
    <t>7. Grimlocks.</t>
  </si>
  <si>
    <t>8. Hobgoblins.</t>
  </si>
  <si>
    <t>10. Orcs.</t>
  </si>
  <si>
    <t>12. Trolls.</t>
  </si>
  <si>
    <t>4. A rickety bridge over a chasm.</t>
  </si>
  <si>
    <t>7. A group of boulders arranged in a circle.</t>
  </si>
  <si>
    <t>8. A damp wall covered in soft mold.</t>
  </si>
  <si>
    <t>9. A recess in the wall, covered in slimy mold.</t>
  </si>
  <si>
    <t>10. A large patch of soft fungus.</t>
  </si>
  <si>
    <t>11. A cavern with a strong echo.</t>
  </si>
  <si>
    <t>12. A claustrophobic tunnel with a low ceiling.</t>
  </si>
  <si>
    <t>13. A forked path with tracks for mine carts.</t>
  </si>
  <si>
    <t>14. An overturned mine cart.</t>
  </si>
  <si>
    <t>15. An unlit lantern mounted to the wall.</t>
  </si>
  <si>
    <t>16. A glowing lantern mounted to the wall.</t>
  </si>
  <si>
    <t>17. A swirling vein of ore visible in the wall.</t>
  </si>
  <si>
    <t>18. A wide vein of ore visible in the wall.</t>
  </si>
  <si>
    <t>19. A partially excavated wall with plentiful ore.</t>
  </si>
  <si>
    <t>20. A heap of excavated rock.</t>
  </si>
  <si>
    <t>1. Some broken mining equipment.</t>
  </si>
  <si>
    <t>3. Evidence of a recent, brief encampment.</t>
  </si>
  <si>
    <t>4. Evidence of an abandoned campsite.</t>
  </si>
  <si>
    <t>9. The clang of a pick breaking rock.</t>
  </si>
  <si>
    <t>10. The distant sound of hammers at work.</t>
  </si>
  <si>
    <t>11. A prospector’s mark scratched on the wall.</t>
  </si>
  <si>
    <t>12. A cracked wooden beam overhead.</t>
  </si>
  <si>
    <t>d4 The mine is widely believed to be...</t>
  </si>
  <si>
    <t>1. Full of riches.</t>
  </si>
  <si>
    <t>2. A productive place to dig.</t>
  </si>
  <si>
    <t>3. Becoming increasingly unprofitable.</t>
  </si>
  <si>
    <t>4. Nearly dried up.</t>
  </si>
  <si>
    <t>d8 The mine is controlled by...</t>
  </si>
  <si>
    <t>1. A powerful, well-known merchant guild.</t>
  </si>
  <si>
    <t>2. A wealthy noble house.</t>
  </si>
  <si>
    <t>3. A partnership of a few prospectors.</t>
  </si>
  <si>
    <t>4. A clan or collective of locals.</t>
  </si>
  <si>
    <t>5. No one in particular; finders keepers.</t>
  </si>
  <si>
    <t>6. A shadowy cabal of merchants.</t>
  </si>
  <si>
    <t>7. A vicious warlord or mercenary captain.</t>
  </si>
  <si>
    <t>8. A crime boss who’s never visited the site.</t>
  </si>
  <si>
    <t>d6 Most of the miners are...</t>
  </si>
  <si>
    <t>1. Free men working for wages.</t>
  </si>
  <si>
    <t>2. Low-level members of a guild.</t>
  </si>
  <si>
    <t>3. Paid with a fraction of what they haul out.</t>
  </si>
  <si>
    <t>4. Paid with credit at a merchant’s store.</t>
  </si>
  <si>
    <t>5. Prisoners.</t>
  </si>
  <si>
    <t>6. Slaves.</t>
  </si>
  <si>
    <t>Discipline, Strength, and Wisdom...</t>
  </si>
  <si>
    <t>d12 Visitors to the monastery come seeking...</t>
  </si>
  <si>
    <t>1. Ancient knowledge.</t>
  </si>
  <si>
    <t>2. Mystic wisdom.</t>
  </si>
  <si>
    <t>3. Spiritual guidance.</t>
  </si>
  <si>
    <t>4. Prayers and healing.</t>
  </si>
  <si>
    <t>5. Ales and other goods made on-site.</t>
  </si>
  <si>
    <t>6. Refuge from war.</t>
  </si>
  <si>
    <t>7. Shelter on a long journey.</t>
  </si>
  <si>
    <t>8. The secret of true happiness.</t>
  </si>
  <si>
    <t>9. Physical perfection.</t>
  </si>
  <si>
    <t>10. The means to travel to another realm.</t>
  </si>
  <si>
    <t>11. Training in a unique fighting style.</t>
  </si>
  <si>
    <t>12. The tools and training to exact vengeance.</t>
  </si>
  <si>
    <t>d12 The monastery is known for its...</t>
  </si>
  <si>
    <t>1. Compassionate healers.</t>
  </si>
  <si>
    <t>2. Sacred music.</t>
  </si>
  <si>
    <t>3. Ancient wisdom.</t>
  </si>
  <si>
    <t>4. Dark prophecies.</t>
  </si>
  <si>
    <t>5. Stunning archtecture.</t>
  </si>
  <si>
    <t>6. Unusual architecture.</t>
  </si>
  <si>
    <t>7. A famous sculpture or painting.</t>
  </si>
  <si>
    <t>8. Lengthy prayer services and vigils.</t>
  </si>
  <si>
    <t>9. Extensive library and scholarly debates.</t>
  </si>
  <si>
    <t>10. Master brewers or vintners.</t>
  </si>
  <si>
    <t>11. Powerful mystics.</t>
  </si>
  <si>
    <t>12. Indefatigable warriors.</t>
  </si>
  <si>
    <t>d8 The monastery complex is located...</t>
  </si>
  <si>
    <t>1. On a hilltop far from any cities, but with a village below.</t>
  </si>
  <si>
    <t>2. On a hilltop not far from a large city.</t>
  </si>
  <si>
    <t>3. On a remote mountaintop.</t>
  </si>
  <si>
    <t>4. On the side of a mountain.</t>
  </si>
  <si>
    <t>5. Deep within a forest.</t>
  </si>
  <si>
    <t>6. Near a desert oasis.</t>
  </si>
  <si>
    <t>7. Belowground.</t>
  </si>
  <si>
    <t>8. In the heart of a city.</t>
  </si>
  <si>
    <t>d10 The monastery complex is...</t>
  </si>
  <si>
    <t>1. A tight cluster of buildings (or chambers).</t>
  </si>
  <si>
    <t>2. A cluster of buildings with gardens, lawns, and yards in the spaces between.</t>
  </si>
  <si>
    <t>3. A cluster of interconnected buildings.</t>
  </si>
  <si>
    <t>4. A cluster of buildings ringed by a fence or low wall.</t>
  </si>
  <si>
    <t>5. A cluster of buildings ringed by a defensible stone wall.</t>
  </si>
  <si>
    <t>6. A single large building.</t>
  </si>
  <si>
    <t>7. A large main building with several smaller support buildings located nearby.</t>
  </si>
  <si>
    <t>8. A fortress with walls and watchtowers or sentry posts.</t>
  </si>
  <si>
    <t>9. A labyrinthine series of small buildings.</t>
  </si>
  <si>
    <t>10. Symmetrically divided into two or more wings.</t>
  </si>
  <si>
    <t>d12 This building/chamber is...</t>
  </si>
  <si>
    <t>1. A chapel or shrine.</t>
  </si>
  <si>
    <t>2. A dormitory.</t>
  </si>
  <si>
    <t>3. A cloister.</t>
  </si>
  <si>
    <t>4. A refectory (dining hall).</t>
  </si>
  <si>
    <t>5. A library.</t>
  </si>
  <si>
    <t>6. A balneary (bath).</t>
  </si>
  <si>
    <t>7. An infirmary.</t>
  </si>
  <si>
    <t>8. A sanatorium or hospice.</t>
  </si>
  <si>
    <t>9. A school.</t>
  </si>
  <si>
    <t>10. A forge.</t>
  </si>
  <si>
    <t>11. A brewery.</t>
  </si>
  <si>
    <t>12. A barn.</t>
  </si>
  <si>
    <t>d4 Many of the monastery’s ceilings are...</t>
  </si>
  <si>
    <t>4. Domes or cupolas.</t>
  </si>
  <si>
    <t>d6 The buildings/chambers are...</t>
  </si>
  <si>
    <t>1. Decorated with statues.</t>
  </si>
  <si>
    <t>2. Decorated with stone arches and columns.</t>
  </si>
  <si>
    <t>3. Colorful structures of painted wood and plaster.</t>
  </si>
  <si>
    <t>4. Sturdy structures of finished wood.</t>
  </si>
  <si>
    <t>5. Solid structures of oven-fired clay bricks.</t>
  </si>
  <si>
    <t>6. Behind large metal doors (d6): 1. brass; 2. bronze; 3. gold; 4. iron; 5. steel; 6. tin</t>
  </si>
  <si>
    <t>d8 Many of the monastery’s interior walls are...</t>
  </si>
  <si>
    <t>16. The pipes of an indoor plumbing system running along the wall.</t>
  </si>
  <si>
    <t>19. The sound of chanting from another room.</t>
  </si>
  <si>
    <t>d12 Encounters: You come upon...</t>
  </si>
  <si>
    <t>1. A bright-eyed student.</t>
  </si>
  <si>
    <t>2. An exhausted student.</t>
  </si>
  <si>
    <t>3. A patient initiate.</t>
  </si>
  <si>
    <t>4. A fierce martial artist.</t>
  </si>
  <si>
    <t>5. A dogmatic teacher.</t>
  </si>
  <si>
    <t>6. An eccentric scholar.</t>
  </si>
  <si>
    <t>7. A wise old master.</t>
  </si>
  <si>
    <t>8. A traveler from afar.</t>
  </si>
  <si>
    <t>9. A member of the monastery’s serving staff.</t>
  </si>
  <si>
    <t>10. A member of the monastery’s guard.</t>
  </si>
  <si>
    <t>11. A strange energy.</t>
  </si>
  <si>
    <t>12. A feeling that you’re being watched.</t>
  </si>
  <si>
    <t>d10 The monastery guards the secret to...</t>
  </si>
  <si>
    <t>1. World peace.</t>
  </si>
  <si>
    <t>2. Inner peace.</t>
  </si>
  <si>
    <t>3. Spiritual enlightenment.</t>
  </si>
  <si>
    <t>4. Total consciousness.</t>
  </si>
  <si>
    <t>5. Apotheosis.</t>
  </si>
  <si>
    <t>6. Armageddon.</t>
  </si>
  <si>
    <t>7. Ritual transformation into a god’s avatar.</t>
  </si>
  <si>
    <t>8. Unsealing a portal to another realm.</t>
  </si>
  <si>
    <t>9. Instant and irreversible death.</t>
  </si>
  <si>
    <t>10. The perfect pint of ale.</t>
  </si>
  <si>
    <t>d4 The monastery’s secret is known to...</t>
  </si>
  <si>
    <t>1. Everyone, but the specifics are hidden.</t>
  </si>
  <si>
    <t>2. Monks that perform a particular service.</t>
  </si>
  <si>
    <t>3. Several of the monastery’s masters.</t>
  </si>
  <si>
    <t>4. A single master and a single student.</t>
  </si>
  <si>
    <t>Random Sewers</t>
  </si>
  <si>
    <t>d6 Age and condition: These tunnels are...</t>
  </si>
  <si>
    <t>1. Ancient and built to last; the tunnels have been here for ages and will last for many years.</t>
  </si>
  <si>
    <t>2. Ancient and deteriorating; the tunnels are crumbling.</t>
  </si>
  <si>
    <t>3. Old and solid; the tunnels the material used to line the tunnels has only minor cracks.</t>
  </si>
  <si>
    <t>4. Old and decaying; the material used to line the tunnels has many wide cracks.</t>
  </si>
  <si>
    <t>5. Recent and solid; the tunnels were well-engineered and well-built.</t>
  </si>
  <si>
    <t>6. Recent and shoddy; the tunnels were hastily built and lined with cheap materials.</t>
  </si>
  <si>
    <t>d6 Material: The tunnels are built of or lined with...</t>
  </si>
  <si>
    <t>1. Wooden planks sealed with pitch.</t>
  </si>
  <si>
    <t>2. Baked clay tiles.</t>
  </si>
  <si>
    <t>3. Sandstone blocks</t>
  </si>
  <si>
    <t>4. Rough concrete.</t>
  </si>
  <si>
    <t>5. Granite.</t>
  </si>
  <si>
    <t>6. Marble.</t>
  </si>
  <si>
    <t>d6 Water level: The tunnels in this place...</t>
  </si>
  <si>
    <t>1. Are only filled with ankle-deep muck.</t>
  </si>
  <si>
    <t>2. Are always flooded up to the ceiling.</t>
  </si>
  <si>
    <t>3. Are always flooded in the lower levels.</t>
  </si>
  <si>
    <t>4. Are always flooded up to the waist.</t>
  </si>
  <si>
    <t>5. Flood at high tide.</t>
  </si>
  <si>
    <t>6. Flood when it rains heavily.</t>
  </si>
  <si>
    <t>d6 Drain: These tunnels drain off into...</t>
  </si>
  <si>
    <t>1. The city harbor.</t>
  </si>
  <si>
    <t>2. An underground lake.</t>
  </si>
  <si>
    <t>3. A canal that leads to the sea.</t>
  </si>
  <si>
    <t>4. A nearby swamp.</t>
  </si>
  <si>
    <t>5. A wide river.</t>
  </si>
  <si>
    <t>6. An unknown deep place.</t>
  </si>
  <si>
    <t>1. Ladder or narrow stair going up.</t>
  </si>
  <si>
    <t>2. Giant grate or net.</t>
  </si>
  <si>
    <t>3. Handful of wooden crates.</t>
  </si>
  <si>
    <t>4. Large pipe or drain leading downward.</t>
  </si>
  <si>
    <t>5. Skeleton or decaying corpse.</t>
  </si>
  <si>
    <t>6. Filthy nest.</t>
  </si>
  <si>
    <t>d6 Minor feature: You see a/an/some...</t>
  </si>
  <si>
    <t>1. Bubbles rising to the surface of some mucky water.</t>
  </si>
  <si>
    <t>2. Empty glass bottle.</t>
  </si>
  <si>
    <t>3. Filthy rag floating in some mucky water.</t>
  </si>
  <si>
    <t>4. Jagged crack in the tunnel wall.</t>
  </si>
  <si>
    <t>5. Constant drip from the ceiling.</t>
  </si>
  <si>
    <t>6. Pocket of warm mucky water.</t>
  </si>
  <si>
    <t>1. Harlot's ghost.</t>
  </si>
  <si>
    <t>2. Curious child.</t>
  </si>
  <si>
    <t>3. Lost circus performer.</t>
  </si>
  <si>
    <t>4. Drunken smuggler.</t>
  </si>
  <si>
    <t>5. Frightened merfolk.</t>
  </si>
  <si>
    <t>6. Shifty evil cultist.</t>
  </si>
  <si>
    <t>1. Rat.</t>
  </si>
  <si>
    <t>2. Centipede.</t>
  </si>
  <si>
    <t>3. Spider.</t>
  </si>
  <si>
    <t>4. Monstrous catfish.</t>
  </si>
  <si>
    <t>5. Giant turtle.</t>
  </si>
  <si>
    <t>6. Crocodile.</t>
  </si>
  <si>
    <t>1. Aberrant beast (roll on beast table).</t>
  </si>
  <si>
    <t>2. Swarm of rats or carnivorous fish.</t>
  </si>
  <si>
    <t>3. Kobold.</t>
  </si>
  <si>
    <t>4. Wererat.</t>
  </si>
  <si>
    <t>5. Ghoul.</t>
  </si>
  <si>
    <t>6. Water or mud elemental.</t>
  </si>
  <si>
    <t>1. Aboleth or gibbering mouther.</t>
  </si>
  <si>
    <t>2. Shambling mound.</t>
  </si>
  <si>
    <t>3. Hydra.</t>
  </si>
  <si>
    <t>4. Filth demon or conniving devil.</t>
  </si>
  <si>
    <t>5. Decrepit vampire.</t>
  </si>
  <si>
    <t>6. Bog hag.</t>
  </si>
  <si>
    <t>1. Green slime.</t>
  </si>
  <si>
    <t>2. Boot-sucking sludge.</t>
  </si>
  <si>
    <t>3. Poisonous fungus.</t>
  </si>
  <si>
    <t>4. Flooding chamber.</t>
  </si>
  <si>
    <t>1. Hidden treasure cache of a band of criminals.</t>
  </si>
  <si>
    <t>2. Lost book of dark rituals.</t>
  </si>
  <si>
    <t>3. Ancestral weapon of a noble house.</t>
  </si>
  <si>
    <t>4. Storied gemstone stolen years ago.</t>
  </si>
  <si>
    <t>5. Key to opening an old city gate.</t>
  </si>
  <si>
    <t>6. Captive heiress.</t>
  </si>
  <si>
    <t>Random Shadowfell Dungeon</t>
  </si>
  <si>
    <t>1. Eerie cave.</t>
  </si>
  <si>
    <t>2. Maze of black rock.</t>
  </si>
  <si>
    <t>5. Crumbling catacomb.</t>
  </si>
  <si>
    <t>1. Near a shadowfolk stronghold.</t>
  </si>
  <si>
    <t>2. Beneath a creepy old castle.</t>
  </si>
  <si>
    <t>3. Beneath an ancient mausoleum.</t>
  </si>
  <si>
    <t>4. Deep within a twisted forest or swamp.</t>
  </si>
  <si>
    <t>5. Beneath a corrupt city in the mortal world.</t>
  </si>
  <si>
    <t>6. In a forbidding mountain valley in the mortal world.</t>
  </si>
  <si>
    <t>1. Statue of a personification of death.</t>
  </si>
  <si>
    <t>2. Altar dedicated to a dead god.</t>
  </si>
  <si>
    <t>3. Mural depicting an hellish battlefield.</t>
  </si>
  <si>
    <t>4. Ornately decorated stone sarcophagus.</t>
  </si>
  <si>
    <t>5. Several curtains of dusty cobwebs.</t>
  </si>
  <si>
    <t>6. Set of double doors framed with bones.</t>
  </si>
  <si>
    <t>1. Dusty empty bottle.</t>
  </si>
  <si>
    <t>2. Small statue depicting several skeletons.</t>
  </si>
  <si>
    <t>3. Set of manacles and chains.</t>
  </si>
  <si>
    <t>4. Crack in the wall or ceiling.</t>
  </si>
  <si>
    <t>5. Patch of sickly grey mold.</t>
  </si>
  <si>
    <t>6. Handful of floating globes of dim light.</t>
  </si>
  <si>
    <t>1. Tricky witch.</t>
  </si>
  <si>
    <t>2. Desperate fugitive.</t>
  </si>
  <si>
    <t>3. Solitary monk.</t>
  </si>
  <si>
    <t>4. Shadowfolk warrior.</t>
  </si>
  <si>
    <t>5. Shifty graverobber.</t>
  </si>
  <si>
    <t>6. Restless ghost.</t>
  </si>
  <si>
    <t>2. Black pudding or blood ooze.</t>
  </si>
  <si>
    <t>3. Giant spider or scorpion.</t>
  </si>
  <si>
    <t>4. Swarm of rats or crows.</t>
  </si>
  <si>
    <t>6. Undead or shadow-touched beast (d6): 1. mastiff; 2. owl; 3. raven; 4. snake; 5. vulture; 6. wolf.</t>
  </si>
  <si>
    <t>1. Invisible stalker.</t>
  </si>
  <si>
    <t>2. Pack of ghouls.</t>
  </si>
  <si>
    <t>3. Soul devourer.</t>
  </si>
  <si>
    <t>4. Terrifying specter.</t>
  </si>
  <si>
    <t>5. Shambling mummy.</t>
  </si>
  <si>
    <t>6. Zombie horde.</t>
  </si>
  <si>
    <t>1. Vampire lord.</t>
  </si>
  <si>
    <t>2. Death knight.</t>
  </si>
  <si>
    <t>3. Potent lich.</t>
  </si>
  <si>
    <t>4. Soul-collecting fiend.</t>
  </si>
  <si>
    <t>5. Dread wraith.</t>
  </si>
  <si>
    <t>6. Savage werewolf.</t>
  </si>
  <si>
    <t>1. Curse of wasting sickness.</t>
  </si>
  <si>
    <t>2. Curse of nightmare-filled sleep.</t>
  </si>
  <si>
    <t>3. Toxic mold spores.</t>
  </si>
  <si>
    <t>4. Poisoned dart traps.</t>
  </si>
  <si>
    <t>5. Closing walls trap.</t>
  </si>
  <si>
    <t>6. Incurable waterborne illness.</t>
  </si>
  <si>
    <t>1. Crown of an ancient king of the dead.</t>
  </si>
  <si>
    <t>2. Sword of an infamous pirate captain.</t>
  </si>
  <si>
    <t>3. Spellbook of a long-dead necromancer.</t>
  </si>
  <si>
    <t>4. Phylactery of a notorious lich.</t>
  </si>
  <si>
    <t>5. Large cache of soul gems.</t>
  </si>
  <si>
    <t>6. Helm of a villainous warlord.</t>
  </si>
  <si>
    <t>Random Volcanic Dungeon</t>
  </si>
  <si>
    <t>1. Volcanic cave.</t>
  </si>
  <si>
    <t>2. Series of lava tubes near an active volcano.</t>
  </si>
  <si>
    <t>3. Iron fortress built by an ancient military order.</t>
  </si>
  <si>
    <t>5. Palace built by an efreet prince.</t>
  </si>
  <si>
    <t>6. Abandoned mine beneath a volcanic mountain.</t>
  </si>
  <si>
    <t>d6 Fire hazard: The chambers in this place...</t>
  </si>
  <si>
    <t>1. Periodically leak magma from the ceiling.</t>
  </si>
  <si>
    <t>2. Are sometimes crossed with lava flows.</t>
  </si>
  <si>
    <t>3. Are exposed to blasts of hot air filled with debris.</t>
  </si>
  <si>
    <t>4. Have floors that can burn the soles of shoes.</t>
  </si>
  <si>
    <t>5. Have doors that are often blocked by cave-ins or old lava flows.</t>
  </si>
  <si>
    <t>6. Occasionally fill with poisonous gas.</t>
  </si>
  <si>
    <t>1. Wide lava flow from a past eruption.</t>
  </si>
  <si>
    <t>2. Altar to a fiery god or demon.</t>
  </si>
  <si>
    <t>3. Beautiful wall of black volcanic glass.</t>
  </si>
  <si>
    <t>4. Rack of scimitars and/or spears.</t>
  </si>
  <si>
    <t>6. Bubbling lava fountain.</t>
  </si>
  <si>
    <t>1. Series of long stalactites.</t>
  </si>
  <si>
    <t>3. Empty waterskin.</t>
  </si>
  <si>
    <t>4. Pile of old dry bones.</t>
  </si>
  <si>
    <t>5. Dim red glow.</t>
  </si>
  <si>
    <t>6. Fume vent with a strong brimstone smell.</t>
  </si>
  <si>
    <t>1. Ghost of an ancient martial artist.</t>
  </si>
  <si>
    <t>2. Dwarvish mastercrafter.</t>
  </si>
  <si>
    <t>3. Curious mapmaker.</t>
  </si>
  <si>
    <t>4. Half-mad cultist.</t>
  </si>
  <si>
    <t>5. Lizardfolk warrior.</t>
  </si>
  <si>
    <t>6. Overzealous pilgrim.</t>
  </si>
  <si>
    <t>2. Boar.</t>
  </si>
  <si>
    <t>4. Lizard.</t>
  </si>
  <si>
    <t>5. Snake.</t>
  </si>
  <si>
    <t>6. Vulture.</t>
  </si>
  <si>
    <t>1. Chimera.</t>
  </si>
  <si>
    <t>2. Fiendish beast (roll on beast table).</t>
  </si>
  <si>
    <t>3. Fire beast (roll on beast table).</t>
  </si>
  <si>
    <t>4. Fire elemental.</t>
  </si>
  <si>
    <t>6. Skeletal warrior.</t>
  </si>
  <si>
    <t>1. Efreet prince.</t>
  </si>
  <si>
    <t>2. Fire giant.</t>
  </si>
  <si>
    <t>3. Powerful fiend.</t>
  </si>
  <si>
    <t>4. Dragon.</t>
  </si>
  <si>
    <t>5. Skull lord.</t>
  </si>
  <si>
    <t>6. Wicked pyromancer.</t>
  </si>
  <si>
    <t>1. Magma ooze.</t>
  </si>
  <si>
    <t>3. Exploding runes trap.</t>
  </si>
  <si>
    <t>4. Thick, noxious smoke.</t>
  </si>
  <si>
    <t>5. Falling rocks.</t>
  </si>
  <si>
    <t>6. Curse of choking death.</t>
  </si>
  <si>
    <t>1. Celebrated explorer’s treasure hoard.</t>
  </si>
  <si>
    <t>2. Staff of volcanic power.</t>
  </si>
  <si>
    <t>3. Ancient wand forged of living metal.</t>
  </si>
  <si>
    <t>4. Legendary gemstone lost in a terrible volcanic eruptions.</t>
  </si>
  <si>
    <t>5. Map to an ancient monastery.</t>
  </si>
  <si>
    <t>6. Abducted, beloved princess.</t>
  </si>
  <si>
    <t>Random Acting Troupe</t>
  </si>
  <si>
    <t>d10 The players travel about…</t>
  </si>
  <si>
    <t>1. Aboard a small sailing ship.</t>
  </si>
  <si>
    <t>2. Aboard a flatboat or small barge.</t>
  </si>
  <si>
    <t>3. On horseback.</t>
  </si>
  <si>
    <t>4. In a painted wagon, drawn by beautiful horses.</t>
  </si>
  <si>
    <t>5. In an unadorned wagon, drawn by a team of oxen.</t>
  </si>
  <si>
    <t>6. On foot with heavy packs.</t>
  </si>
  <si>
    <t>7. On foot with a handful of pack horses.</t>
  </si>
  <si>
    <t>8. On foot with a handful of pack mules.</t>
  </si>
  <si>
    <t>9. With half the troupe on foot and half mounted on donkeys.</t>
  </si>
  <si>
    <t>10. By mysterious means; no one has seen them arrive and no one has seen them leave.</t>
  </si>
  <si>
    <t>d10 The players are known for…</t>
  </si>
  <si>
    <t>1. Heartbreaking performances.</t>
  </si>
  <si>
    <t>2. Bawdy comic performances.</t>
  </si>
  <si>
    <t>3. Moralistic allegories.</t>
  </si>
  <si>
    <t>4. Rousing musical numbers.</t>
  </si>
  <si>
    <t>5. Fantastic visual effects and illusions.</t>
  </si>
  <si>
    <t>6. Acerbic political satire.</t>
  </si>
  <si>
    <t>7. Sappy romantic tales.</t>
  </si>
  <si>
    <t>8. Crowd-pleasing tales of legendary heroes.</t>
  </si>
  <si>
    <t>9. Dangerous stunts.</t>
  </si>
  <si>
    <t>10. Throwing the best parties.</t>
  </si>
  <si>
    <t>d10 The players advertise their shows by…</t>
  </si>
  <si>
    <t>1. A whispering campaign through local pubs.</t>
  </si>
  <si>
    <t>2. Performing excerpts on street corners.</t>
  </si>
  <si>
    <t>3. Performing excerpts in local pubs.</t>
  </si>
  <si>
    <t>4. Posting flyers all about town.</t>
  </si>
  <si>
    <t>5. Hiring local harlots to spread the word.</t>
  </si>
  <si>
    <t>6. Insulting the local clergy.</t>
  </si>
  <si>
    <t>7. Insulting the local authorities.</t>
  </si>
  <si>
    <t>8. Giving sweets to children.</t>
  </si>
  <si>
    <t>9. Singing a catchy jingle.</t>
  </si>
  <si>
    <t>10. Casting a charm spell on locals.</t>
  </si>
  <si>
    <t>d10 The players left the last town…</t>
  </si>
  <si>
    <t>1. At the end of a successful run of performances.</t>
  </si>
  <si>
    <t>2. With a promise to return to entertain again soon.</t>
  </si>
  <si>
    <t>3. Chased out by an angry mob.</t>
  </si>
  <si>
    <t>4. Under threat of imprisonment by a local lord.</t>
  </si>
  <si>
    <t>5. Under threat of execution by a local high priest or priestess.</t>
  </si>
  <si>
    <t>6. Following a failed assassination attempt by a local crime boss’s lackey.</t>
  </si>
  <si>
    <t>7. After being threatened by a powerful merchant.</t>
  </si>
  <si>
    <t>8. After fleecing a wealthy merchant.</t>
  </si>
  <si>
    <t>9. After fleecing a local crime boss.</t>
  </si>
  <si>
    <t>10. Mysteriously; the players can’t explain how the troupe arrived here.</t>
  </si>
  <si>
    <t>d10 There are rumors that among the players is someone who…</t>
  </si>
  <si>
    <t>1. Can enter people’s dreams.</t>
  </si>
  <si>
    <t>2. Can speak with the dead.</t>
  </si>
  <si>
    <t>3. Can raise the dead.</t>
  </si>
  <si>
    <t>4. Can craft deadly poisons.</t>
  </si>
  <si>
    <t>5. Has a vendetta against a local lord or merchant.</t>
  </si>
  <si>
    <t>6. Has fiendish blood in his/her veins.</t>
  </si>
  <si>
    <t>7. Has draconic blood in his/her veins.</t>
  </si>
  <si>
    <t>8. Slew a dragon.</t>
  </si>
  <si>
    <t>9. Slew a giant.</t>
  </si>
  <si>
    <t>10. Is a notorious outlaw in disguise.</t>
  </si>
  <si>
    <t>Random Druid Circles</t>
  </si>
  <si>
    <t>d6 Category: Members of this druid circle revere...</t>
  </si>
  <si>
    <t>1. The earth.</t>
  </si>
  <si>
    <t>2. Weather cycles.</t>
  </si>
  <si>
    <t>3. Natural disasters.</t>
  </si>
  <si>
    <t>4. Trees.</t>
  </si>
  <si>
    <t>5. Beasts.</t>
  </si>
  <si>
    <t>6. Bodies of water.</t>
  </si>
  <si>
    <t>d6 Philosophical focus: Members of this druid circle champion the ideal of...</t>
  </si>
  <si>
    <t>1. Balance in all things.</t>
  </si>
  <si>
    <t>2. Change as an inevitability.</t>
  </si>
  <si>
    <t>3. Endurance in the face of storms.</t>
  </si>
  <si>
    <t>4. Harmony with the natural world.</t>
  </si>
  <si>
    <t>5. Protecting the weak.</t>
  </si>
  <si>
    <t>6. Strength against foes.</t>
  </si>
  <si>
    <t>d6 Sacred site: The druid circle’s most sacred site is a/an...</t>
  </si>
  <si>
    <t>1. Cavern of geological wonders.</t>
  </si>
  <si>
    <t>2. Dank, root-filled cave.</t>
  </si>
  <si>
    <t>3. Cave behind a beautiful waterfall.</t>
  </si>
  <si>
    <t>4. Enormous hollow tree.</t>
  </si>
  <si>
    <t>5. Sacred grove of trees.</t>
  </si>
  <si>
    <t>6. Ring of ancient monoliths.</t>
  </si>
  <si>
    <t>d6 Sacred site feature: At the druid circle’s most sacred site you will find...</t>
  </si>
  <si>
    <t>1. Ancient paintings.</t>
  </si>
  <si>
    <t>2. Twisted vines.</t>
  </si>
  <si>
    <t>3. Fragrant flowers.</t>
  </si>
  <si>
    <t>4. Unusual mushrooms.</t>
  </si>
  <si>
    <t>5. Stunning mineral patterns.</t>
  </si>
  <si>
    <t>6. Ripe, delicious fruit.</t>
  </si>
  <si>
    <t>d6 Druidic focus: Members of this druid circle often carry or wear a/an...</t>
  </si>
  <si>
    <t>1. Wand made of blessed wood.</t>
  </si>
  <si>
    <t>2. Staff made of ancient wood.</t>
  </si>
  <si>
    <t>3. Staff topped with a rare stone.</t>
  </si>
  <si>
    <t>4. String of stone beads or shells.</t>
  </si>
  <si>
    <t>5. Many tattoos of primal symbols.</t>
  </si>
  <si>
    <t>6. Trophy taken from a beast (d6): 1. claws; 2. fangs; 3. feathers; 4. fur; 5. scales; 6. skull.</t>
  </si>
  <si>
    <t>d6 Mission: This druid circle's goal is to...</t>
  </si>
  <si>
    <t>1. Salvage the natural beauty in a place despite civilization's incursions.</t>
  </si>
  <si>
    <t>2. Sabotage attempts to tame wild lands.</t>
  </si>
  <si>
    <t>3. Free all captive (read: domesticated) plants and animals.</t>
  </si>
  <si>
    <t>4. Protect the land from an ancient evil.</t>
  </si>
  <si>
    <t>5. Destroy any undead or evil creatures who threaten a region's natural inhabitants.</t>
  </si>
  <si>
    <t>6. Prepare a new breeding ground for powerful beasts of ancient lineage (read: dragons).</t>
  </si>
  <si>
    <t>EARTH CIRCLES</t>
  </si>
  <si>
    <t>d6 Natural focus (earth circle): Members of this druid circle pay particular respect to...</t>
  </si>
  <si>
    <t>1. Burrows.</t>
  </si>
  <si>
    <t>2. Canyons.</t>
  </si>
  <si>
    <t>3. Caves.</t>
  </si>
  <si>
    <t>4. Dust storms.</t>
  </si>
  <si>
    <t>5. Mountains.</t>
  </si>
  <si>
    <t>6. Sand dunes.</t>
  </si>
  <si>
    <t>d6 Favored beast (earth circle): Members of this druid circle are often accompanied by a/an...</t>
  </si>
  <si>
    <t>1. Badger or fox.</t>
  </si>
  <si>
    <t>2. Bear.</t>
  </si>
  <si>
    <t>3. Eagle or vulture.</t>
  </si>
  <si>
    <t>4. Mouse or rat.</t>
  </si>
  <si>
    <t>5. Ooze or earth elemental.</t>
  </si>
  <si>
    <t>6. Spider.</t>
  </si>
  <si>
    <t>d6 Habits and rituals (earth circle): Members of this druid circle...</t>
  </si>
  <si>
    <t>1. Never wipe the dirt from their feet.</t>
  </si>
  <si>
    <t>2. Paint their faces with mud or dust.</t>
  </si>
  <si>
    <t>3. Always sleep on bare earth.</t>
  </si>
  <si>
    <t>4. Kiss the ground whenever they awake.</t>
  </si>
  <si>
    <t>5. Only wear shoes when they go indoors.</t>
  </si>
  <si>
    <t>6. Refuse to board any watercraft.</t>
  </si>
  <si>
    <t>WEATHER CIRCLES</t>
  </si>
  <si>
    <t>d6 Natural focus (weather circle): Members of this druid circle pay particular respect to...</t>
  </si>
  <si>
    <t>1. Sunlight.</t>
  </si>
  <si>
    <t>2. Thunderstorms.</t>
  </si>
  <si>
    <t>3. Wind.</t>
  </si>
  <si>
    <t>4. Rain.</t>
  </si>
  <si>
    <t>5. Fog.</t>
  </si>
  <si>
    <t>6. Snowstorms.</t>
  </si>
  <si>
    <t>d6 Favored beast (weather circle): Members of this druid circle are often accompanied by a/an...</t>
  </si>
  <si>
    <t>1. Swarm of songbirds or flies.</t>
  </si>
  <si>
    <t>2. Lizard or toad.</t>
  </si>
  <si>
    <t>3. Eagle or owl.</t>
  </si>
  <si>
    <t>4. Elemental creature.</t>
  </si>
  <si>
    <t>5. Lion or panther.</t>
  </si>
  <si>
    <t>d6 Habits and rituals (weather circle): Members of this druid circle...</t>
  </si>
  <si>
    <t>1. Always sleep outdoors.</t>
  </si>
  <si>
    <t>2. Never dry their belongings when they get wet.</t>
  </si>
  <si>
    <t>3. Spend time every morning praying for good weather.</t>
  </si>
  <si>
    <t>4. Always know when it’s going to rain.</t>
  </si>
  <si>
    <t>5. Sow grain seeds wherever they go.</t>
  </si>
  <si>
    <t>6. Attack anyone who attempts to manipulate the weather.</t>
  </si>
  <si>
    <t>NATURAL DISASTER CIRCLES</t>
  </si>
  <si>
    <t>d6 Natural focus (natural disaster circle): Members of this druid circle pay particular respect to...</t>
  </si>
  <si>
    <t>1. Blizzards.</t>
  </si>
  <si>
    <t>2. Earthquakes.</t>
  </si>
  <si>
    <t>3. Floods.</t>
  </si>
  <si>
    <t>4. Tornadoes.</t>
  </si>
  <si>
    <t>5. Tsunamis.</t>
  </si>
  <si>
    <t>6. Volcanoes.</t>
  </si>
  <si>
    <t>d6 Favored beast (natural disaster circle): Members of this druid circle are often accompanied by a/an...</t>
  </si>
  <si>
    <t>2. Elemental creature.</t>
  </si>
  <si>
    <t>3. Eagle.</t>
  </si>
  <si>
    <t>4. Rat.</t>
  </si>
  <si>
    <t>5. Swarm of flies, songbirds, or fish.</t>
  </si>
  <si>
    <t>6. Wolf or seal.</t>
  </si>
  <si>
    <t>d6 Habits and rituals (natural disaster circle): Members of this druid circle...</t>
  </si>
  <si>
    <t>1. Never speak louder than a whisper.</t>
  </si>
  <si>
    <t>2. Ritualistically tattoo themselves whenever they endure a natural disaster.</t>
  </si>
  <si>
    <t>3. Practice an extreme form of fasting.</t>
  </si>
  <si>
    <t>4. Meditate for days on end.</t>
  </si>
  <si>
    <t>5. Never possess more than they can carry on their backs.</t>
  </si>
  <si>
    <t>6. Never waste food.</t>
  </si>
  <si>
    <t>TREE CIRCLES</t>
  </si>
  <si>
    <t>d6 Natural focus (tree circle): Members of this druid circle pay particular respect to...</t>
  </si>
  <si>
    <t>1. Oak or maple trees.</t>
  </si>
  <si>
    <t>2. Apple or cherry trees.</t>
  </si>
  <si>
    <t>3. Pine or cedar trees.</t>
  </si>
  <si>
    <t>4. Fir or juniper trees.</t>
  </si>
  <si>
    <t>5. Beech or palm trees.</t>
  </si>
  <si>
    <t>6. Walnut or olive trees.</t>
  </si>
  <si>
    <t>d6 Favored beast (tree circle): Members of this druid circle are often accompanied by a/an...</t>
  </si>
  <si>
    <t>1. Bat or spider.</t>
  </si>
  <si>
    <t>2. Hawk or owl.</t>
  </si>
  <si>
    <t>3. Raccoon or possum.</t>
  </si>
  <si>
    <t>4. Songbird.</t>
  </si>
  <si>
    <t>6. Squirrel or monkey.</t>
  </si>
  <si>
    <t>d6 Habits and rituals (tree circle): Members of this druid circle...</t>
  </si>
  <si>
    <t>1. Only sleep up in trees.</t>
  </si>
  <si>
    <t>2. Only use wood products where the wood fell from the tree naturally.</t>
  </si>
  <si>
    <t>3. Never start campfires.</t>
  </si>
  <si>
    <t>4. Sleep standing up.</t>
  </si>
  <si>
    <t>5. Put out any open flame they can reach.</t>
  </si>
  <si>
    <t>6. Brew a special hallucinogenic tree bark tea.</t>
  </si>
  <si>
    <t>BEAST CIRCLES</t>
  </si>
  <si>
    <t>d6 Natural focus (beast circle): Members of this druid circle pay particular respect to...</t>
  </si>
  <si>
    <t>1. Predatory beasts.</t>
  </si>
  <si>
    <t>2. Scavenging beasts.</t>
  </si>
  <si>
    <t>3. Herd beasts.</t>
  </si>
  <si>
    <t>4. Nocturnal beasts.</t>
  </si>
  <si>
    <t>5. Aquatic beasts.</t>
  </si>
  <si>
    <t>6. Scaly beasts.</t>
  </si>
  <si>
    <t>d6 Favored beast (beast circle): Members of this druid circle are often accompanied by a/an...</t>
  </si>
  <si>
    <t>1. Swarm of diminutive beasts.</t>
  </si>
  <si>
    <t>2. Coterie of various beasts.</t>
  </si>
  <si>
    <t>3. Mated pair of beasts.</t>
  </si>
  <si>
    <t>4. Paragon beast.</t>
  </si>
  <si>
    <t>5. Extremely intelligent beast.</t>
  </si>
  <si>
    <t>6. Pack or herd of beasts.</t>
  </si>
  <si>
    <t>d6 Habits and rituals (beast circle): Members of this druid circle...</t>
  </si>
  <si>
    <t>1. Never sleep indoors.</t>
  </si>
  <si>
    <t>2. Never bathe.</t>
  </si>
  <si>
    <t>3. Only eat raw food.</t>
  </si>
  <si>
    <t>4. Groom each other with licking and picking.</t>
  </si>
  <si>
    <t>5. Communicate with each other in growls and grunts.</t>
  </si>
  <si>
    <t>6. Know a secret language of coded bird calls.</t>
  </si>
  <si>
    <t>WATER CIRCLES</t>
  </si>
  <si>
    <t>d6 Natural focus (water circle): Members of this druid circle pay particular respect to...</t>
  </si>
  <si>
    <t>1. Warm oceans.</t>
  </si>
  <si>
    <t>2. Cold oceans.</t>
  </si>
  <si>
    <t>3. Rivers.</t>
  </si>
  <si>
    <t>4. Lakes.</t>
  </si>
  <si>
    <t>5. Underground lakes.</t>
  </si>
  <si>
    <t>6. Swamps.</t>
  </si>
  <si>
    <t>d6 Favored beast (water circle): Members of this druid circle are often accompanied by a/an...</t>
  </si>
  <si>
    <t>1. Swarm of frogs, dragonflies, or fish.</t>
  </si>
  <si>
    <t>2. Giant crab or crayfish.</t>
  </si>
  <si>
    <t>3. Turtle.</t>
  </si>
  <si>
    <t>4. Seal or otter.</t>
  </si>
  <si>
    <t>5. Orca or hippopotamus.</t>
  </si>
  <si>
    <t>6. Shark or giant catfish.</t>
  </si>
  <si>
    <t>d6 Habits and rituals (water circle): Members of this druid circle...</t>
  </si>
  <si>
    <t>1. Fear being dry and constantly drip water on themselves.</t>
  </si>
  <si>
    <t>2. Eat only food that has been boiled, brined, or soaked.</t>
  </si>
  <si>
    <t>3. Carry vials of water from several places for rituals.</t>
  </si>
  <si>
    <t>4. Never write anything on paper because paper dissolves in water.</t>
  </si>
  <si>
    <t>5. Refuse to eat any meat derived from aquatic creatures.</t>
  </si>
  <si>
    <t>6. Have been ritualistically drowned and revived.</t>
  </si>
  <si>
    <t xml:space="preserve">11. A room dedicated for conjurations rituals </t>
  </si>
  <si>
    <t>Прихожане в храме молятся нескольким богам пантеона, которым изначально храм не был посвящен.</t>
  </si>
  <si>
    <t>Храм посвящен богине луны/магии.</t>
  </si>
  <si>
    <t>Храм известен своей Собранной мудростью.</t>
  </si>
  <si>
    <t>Вход в храм охраняют Наёмники.</t>
  </si>
  <si>
    <t>Основной план храма пятиугольный.</t>
  </si>
  <si>
    <t>Храмовый комплекс Простой с укреплениями.</t>
  </si>
  <si>
    <t>На территории храма преобладают неприступные каменные стены.</t>
  </si>
  <si>
    <t>Многие внутренние стены храма украшены священными текстами и рунами.</t>
  </si>
  <si>
    <t>Многие потолки храма находятся Неудобно близко к вашей голове.</t>
  </si>
  <si>
    <t>Ценральная площадь (Рынок)</t>
  </si>
  <si>
    <t>Сад</t>
  </si>
  <si>
    <t>Библиотека</t>
  </si>
  <si>
    <t>Казарма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</si>
</sst>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charset val="204"/>
      <scheme val="minor"/>
    </font>
    <font>
      <sz val="15"/>
      <color rgb="FF1A1A1B"/>
      <name val="Arial"/>
      <family val="2"/>
      <charset val="204"/>
    </font>
    <font>
      <sz val="11"/>
      <color rgb="FF1A1A1B"/>
      <name val="Arial"/>
      <family val="2"/>
      <charset val="204"/>
    </font>
    <font>
      <b/>
      <sz val="11"/>
      <color rgb="FF1A1A1B"/>
      <name val="Inherit"/>
    </font>
    <font>
      <sz val="10"/>
      <color rgb="FF1A1A1B"/>
      <name val="Consolas"/>
      <family val="3"/>
      <charset val="204"/>
    </font>
    <font>
      <b/>
      <i/>
      <sz val="11"/>
      <color rgb="FF1A1A1B"/>
      <name val="Inherit"/>
    </font>
    <font>
      <b/>
      <sz val="11"/>
      <color theme="1"/>
      <name val="Calibri"/>
      <family val="2"/>
      <charset val="204"/>
      <scheme val="minor"/>
    </font>
    <font>
      <sz val="11"/>
      <color theme="1"/>
      <name val="Arial"/>
      <family val="2"/>
      <charset val="204"/>
    </font>
    <font>
      <b/>
      <sz val="11"/>
      <color rgb="FF1A1A1B"/>
      <name val="Arial"/>
      <family val="2"/>
      <charset val="204"/>
    </font>
    <font>
      <b/>
      <sz val="11"/>
      <color theme="1"/>
      <name val="Arial"/>
      <family val="2"/>
      <charset val="204"/>
    </font>
    <font>
      <sz val="15"/>
      <name val="Arial"/>
      <family val="2"/>
      <charset val="204"/>
    </font>
    <font>
      <sz val="11"/>
      <name val="Calibri"/>
      <family val="2"/>
      <charset val="204"/>
      <scheme val="minor"/>
    </font>
    <font>
      <b/>
      <sz val="11"/>
      <name val="Inherit"/>
    </font>
    <font>
      <sz val="11"/>
      <name val="Arial"/>
      <family val="2"/>
      <charset val="204"/>
    </font>
    <font>
      <b/>
      <sz val="11"/>
      <name val="Arial"/>
      <family val="2"/>
      <charset val="204"/>
    </font>
    <font>
      <b/>
      <sz val="11"/>
      <name val="Inherit"/>
      <charset val="204"/>
    </font>
  </fonts>
  <fills count="3">
    <fill>
      <patternFill patternType="none"/>
    </fill>
    <fill>
      <patternFill patternType="gray125"/>
    </fill>
    <fill>
      <patternFill patternType="solid">
        <fgColor rgb="FFFFFFFF"/>
        <bgColor indexed="64"/>
      </patternFill>
    </fill>
  </fills>
  <borders count="10">
    <border>
      <left/>
      <right/>
      <top/>
      <bottom/>
      <diagonal/>
    </border>
    <border>
      <left style="medium">
        <color rgb="FFEEEEEE"/>
      </left>
      <right style="medium">
        <color rgb="FFEEEEEE"/>
      </right>
      <top style="medium">
        <color rgb="FFEEEEEE"/>
      </top>
      <bottom style="medium">
        <color rgb="FFEEEEEE"/>
      </bottom>
      <diagonal/>
    </border>
    <border>
      <left style="thick">
        <color rgb="FFEEEEEE"/>
      </left>
      <right style="medium">
        <color rgb="FFEEEEEE"/>
      </right>
      <top style="thick">
        <color rgb="FFEEEEEE"/>
      </top>
      <bottom style="medium">
        <color rgb="FFEEEEEE"/>
      </bottom>
      <diagonal/>
    </border>
    <border>
      <left style="medium">
        <color rgb="FFEEEEEE"/>
      </left>
      <right style="medium">
        <color rgb="FFEEEEEE"/>
      </right>
      <top style="thick">
        <color rgb="FFEEEEEE"/>
      </top>
      <bottom style="medium">
        <color rgb="FFEEEEEE"/>
      </bottom>
      <diagonal/>
    </border>
    <border>
      <left style="medium">
        <color rgb="FFEEEEEE"/>
      </left>
      <right style="thick">
        <color rgb="FFEEEEEE"/>
      </right>
      <top style="thick">
        <color rgb="FFEEEEEE"/>
      </top>
      <bottom style="medium">
        <color rgb="FFEEEEEE"/>
      </bottom>
      <diagonal/>
    </border>
    <border>
      <left style="thick">
        <color rgb="FFEEEEEE"/>
      </left>
      <right style="medium">
        <color rgb="FFEEEEEE"/>
      </right>
      <top style="medium">
        <color rgb="FFEEEEEE"/>
      </top>
      <bottom style="medium">
        <color rgb="FFEEEEEE"/>
      </bottom>
      <diagonal/>
    </border>
    <border>
      <left style="medium">
        <color rgb="FFEEEEEE"/>
      </left>
      <right style="thick">
        <color rgb="FFEEEEEE"/>
      </right>
      <top style="medium">
        <color rgb="FFEEEEEE"/>
      </top>
      <bottom style="medium">
        <color rgb="FFEEEEEE"/>
      </bottom>
      <diagonal/>
    </border>
    <border>
      <left style="thick">
        <color rgb="FFEEEEEE"/>
      </left>
      <right style="medium">
        <color rgb="FFEEEEEE"/>
      </right>
      <top style="medium">
        <color rgb="FFEEEEEE"/>
      </top>
      <bottom style="thick">
        <color rgb="FFEEEEEE"/>
      </bottom>
      <diagonal/>
    </border>
    <border>
      <left style="medium">
        <color rgb="FFEEEEEE"/>
      </left>
      <right style="medium">
        <color rgb="FFEEEEEE"/>
      </right>
      <top style="medium">
        <color rgb="FFEEEEEE"/>
      </top>
      <bottom style="thick">
        <color rgb="FFEEEEEE"/>
      </bottom>
      <diagonal/>
    </border>
    <border>
      <left style="medium">
        <color rgb="FFEEEEEE"/>
      </left>
      <right style="thick">
        <color rgb="FFEEEEEE"/>
      </right>
      <top style="medium">
        <color rgb="FFEEEEEE"/>
      </top>
      <bottom style="thick">
        <color rgb="FFEEEEEE"/>
      </bottom>
      <diagonal/>
    </border>
  </borders>
  <cellStyleXfs count="1">
    <xf numFmtId="0" fontId="0"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0" borderId="0" xfId="0" applyFont="1" applyAlignment="1">
      <alignment vertical="center"/>
    </xf>
    <xf numFmtId="0" fontId="1" fillId="0" borderId="0" xfId="0" applyFont="1" applyAlignment="1">
      <alignment vertical="center"/>
    </xf>
    <xf numFmtId="0" fontId="2" fillId="0" borderId="0" xfId="0" applyFont="1" applyAlignment="1">
      <alignment horizontal="left" vertical="center"/>
    </xf>
    <xf numFmtId="0" fontId="0" fillId="0" borderId="0" xfId="0" applyAlignment="1"/>
    <xf numFmtId="0" fontId="0" fillId="0" borderId="0" xfId="0" applyAlignment="1">
      <alignment horizontal="right"/>
    </xf>
    <xf numFmtId="0" fontId="6" fillId="0" borderId="0" xfId="0" applyFont="1"/>
    <xf numFmtId="0" fontId="3"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left" vertical="center"/>
    </xf>
    <xf numFmtId="0" fontId="7" fillId="0" borderId="0" xfId="0" applyFont="1" applyAlignment="1"/>
    <xf numFmtId="0" fontId="8" fillId="0" borderId="0" xfId="0" applyFont="1" applyAlignment="1">
      <alignment vertical="center"/>
    </xf>
    <xf numFmtId="0" fontId="2" fillId="0" borderId="0" xfId="0" applyFont="1" applyAlignment="1">
      <alignment vertical="center"/>
    </xf>
    <xf numFmtId="0" fontId="9" fillId="0" borderId="0" xfId="0" applyFont="1"/>
    <xf numFmtId="0" fontId="7" fillId="0" borderId="0" xfId="0" applyFont="1"/>
    <xf numFmtId="0" fontId="5" fillId="0" borderId="0" xfId="0" applyFont="1" applyAlignment="1">
      <alignmen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2" fillId="2" borderId="5" xfId="0" applyFont="1" applyFill="1" applyBorder="1" applyAlignment="1">
      <alignment horizontal="left" vertical="center"/>
    </xf>
    <xf numFmtId="0" fontId="2" fillId="2" borderId="1" xfId="0" applyFont="1" applyFill="1" applyBorder="1" applyAlignment="1">
      <alignment horizontal="left" vertical="center"/>
    </xf>
    <xf numFmtId="0" fontId="2" fillId="2" borderId="6" xfId="0" applyFont="1" applyFill="1" applyBorder="1" applyAlignment="1">
      <alignment horizontal="left" vertical="center"/>
    </xf>
    <xf numFmtId="0" fontId="2"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9" xfId="0" applyFont="1" applyFill="1" applyBorder="1" applyAlignment="1">
      <alignment horizontal="left" vertical="center"/>
    </xf>
    <xf numFmtId="0" fontId="10" fillId="0" borderId="0" xfId="0" applyFont="1" applyAlignment="1">
      <alignment vertical="center"/>
    </xf>
    <xf numFmtId="0" fontId="11" fillId="0" borderId="0" xfId="0" applyFont="1" applyAlignment="1"/>
    <xf numFmtId="0" fontId="12" fillId="0" borderId="0" xfId="0" applyFont="1" applyAlignment="1">
      <alignment vertical="center"/>
    </xf>
    <xf numFmtId="0" fontId="13" fillId="0" borderId="0" xfId="0" applyFont="1" applyAlignment="1">
      <alignment horizontal="left" vertical="center"/>
    </xf>
    <xf numFmtId="0" fontId="13" fillId="0" borderId="0" xfId="0" applyFont="1" applyAlignment="1">
      <alignment vertical="center"/>
    </xf>
    <xf numFmtId="0" fontId="14" fillId="0" borderId="0" xfId="0" applyFont="1" applyAlignment="1"/>
    <xf numFmtId="0" fontId="13" fillId="0" borderId="0" xfId="0" applyFont="1" applyAlignment="1"/>
    <xf numFmtId="0" fontId="15"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xf>
    <xf numFmtId="1"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8F867-8118-4651-866A-B5B22034C74F}">
  <sheetPr codeName="Лист2">
    <tabColor rgb="FFFFFF00"/>
  </sheetPr>
  <dimension ref="A1:N55"/>
  <sheetViews>
    <sheetView workbookViewId="0">
      <selection activeCell="N36" sqref="N36"/>
    </sheetView>
  </sheetViews>
  <sheetFormatPr defaultRowHeight="15"/>
  <sheetData>
    <row r="1" spans="1:1">
      <c r="A1" t="s">
        <v>11</v>
      </c>
    </row>
    <row r="2" spans="1:1">
      <c r="A2" t="s">
        <v>12</v>
      </c>
    </row>
    <row r="3" spans="1:1">
      <c r="A3" t="s">
        <v>13</v>
      </c>
    </row>
    <row r="4" spans="1:1">
      <c r="A4" t="s">
        <v>14</v>
      </c>
    </row>
    <row r="5" spans="1:1">
      <c r="A5" t="s">
        <v>15</v>
      </c>
    </row>
    <row r="6" spans="1:1">
      <c r="A6" t="s">
        <v>16</v>
      </c>
    </row>
    <row r="8" spans="1:1">
      <c r="A8" t="s">
        <v>17</v>
      </c>
    </row>
    <row r="9" spans="1:1">
      <c r="A9" t="s">
        <v>18</v>
      </c>
    </row>
    <row r="10" spans="1:1">
      <c r="A10" t="s">
        <v>19</v>
      </c>
    </row>
    <row r="11" spans="1:1">
      <c r="A11" t="s">
        <v>20</v>
      </c>
    </row>
    <row r="12" spans="1:1">
      <c r="A12" t="s">
        <v>21</v>
      </c>
    </row>
    <row r="13" spans="1:1">
      <c r="A13" t="s">
        <v>22</v>
      </c>
    </row>
    <row r="15" spans="1:1">
      <c r="A15" t="s">
        <v>23</v>
      </c>
    </row>
    <row r="16" spans="1:1">
      <c r="A16" t="s">
        <v>24</v>
      </c>
    </row>
    <row r="17" spans="1:14">
      <c r="A17" t="s">
        <v>25</v>
      </c>
    </row>
    <row r="18" spans="1:14">
      <c r="A18" t="s">
        <v>26</v>
      </c>
    </row>
    <row r="19" spans="1:14">
      <c r="A19" t="s">
        <v>27</v>
      </c>
    </row>
    <row r="20" spans="1:14">
      <c r="A20" t="s">
        <v>28</v>
      </c>
    </row>
    <row r="21" spans="1:14">
      <c r="A21" t="s">
        <v>29</v>
      </c>
    </row>
    <row r="23" spans="1:14">
      <c r="A23" s="3" t="s">
        <v>83</v>
      </c>
      <c r="L23">
        <f ca="1">RANDBETWEEN(1,10)</f>
        <v>1</v>
      </c>
      <c r="M23" t="s">
        <v>6525</v>
      </c>
      <c r="N23" t="str">
        <f ca="1">CHOOSE(L23,B24,B25,B26,B27,B28,B29,B30,B31,B32,B33)</f>
        <v xml:space="preserve"> A coastal harbor</v>
      </c>
    </row>
    <row r="24" spans="1:14">
      <c r="A24" s="5">
        <v>1</v>
      </c>
      <c r="B24" t="s">
        <v>6201</v>
      </c>
    </row>
    <row r="25" spans="1:14">
      <c r="A25" s="5">
        <v>2</v>
      </c>
      <c r="B25" t="s">
        <v>6202</v>
      </c>
    </row>
    <row r="26" spans="1:14">
      <c r="A26" s="5">
        <v>3</v>
      </c>
      <c r="B26" t="s">
        <v>6203</v>
      </c>
    </row>
    <row r="27" spans="1:14">
      <c r="A27" s="5">
        <v>4</v>
      </c>
      <c r="B27" t="s">
        <v>6204</v>
      </c>
    </row>
    <row r="28" spans="1:14">
      <c r="A28" s="5">
        <v>5</v>
      </c>
      <c r="B28" t="s">
        <v>6205</v>
      </c>
    </row>
    <row r="29" spans="1:14">
      <c r="A29" s="5">
        <v>6</v>
      </c>
      <c r="B29" t="s">
        <v>6206</v>
      </c>
    </row>
    <row r="30" spans="1:14">
      <c r="A30" s="5">
        <v>7</v>
      </c>
      <c r="B30" t="s">
        <v>6207</v>
      </c>
    </row>
    <row r="31" spans="1:14">
      <c r="A31" s="5">
        <v>8</v>
      </c>
      <c r="B31" t="s">
        <v>6208</v>
      </c>
    </row>
    <row r="32" spans="1:14">
      <c r="A32" s="5">
        <v>9</v>
      </c>
      <c r="B32" t="s">
        <v>6209</v>
      </c>
    </row>
    <row r="33" spans="1:14">
      <c r="A33" s="5">
        <v>10</v>
      </c>
      <c r="B33" t="s">
        <v>6210</v>
      </c>
    </row>
    <row r="35" spans="1:14">
      <c r="A35" s="3" t="s">
        <v>84</v>
      </c>
      <c r="M35" t="s">
        <v>6528</v>
      </c>
    </row>
    <row r="36" spans="1:14">
      <c r="A36" s="5">
        <v>1</v>
      </c>
      <c r="B36" t="s">
        <v>6211</v>
      </c>
      <c r="L36">
        <f ca="1">RANDBETWEEN(1,6)</f>
        <v>3</v>
      </c>
      <c r="M36" s="7" t="s">
        <v>6529</v>
      </c>
      <c r="N36" t="str">
        <f ca="1">CHOOSE(L36,B36,B37,C38,C39,C40,C41)</f>
        <v xml:space="preserve"> Gold deposits</v>
      </c>
    </row>
    <row r="37" spans="1:14">
      <c r="A37" s="5">
        <v>2</v>
      </c>
      <c r="B37" t="s">
        <v>6212</v>
      </c>
      <c r="L37">
        <f ca="1">RANDBETWEEN(7,17)</f>
        <v>13</v>
      </c>
      <c r="M37" s="7" t="s">
        <v>6526</v>
      </c>
      <c r="N37" t="str">
        <f ca="1">CHOOSE(L37,,,,,,,B42,B43,B44,B45,C46,B47,B48,B49,B50,B51,B52)</f>
        <v xml:space="preserve"> Sugar cane</v>
      </c>
    </row>
    <row r="38" spans="1:14">
      <c r="A38" s="5">
        <v>3</v>
      </c>
      <c r="B38" t="str">
        <f ca="1">CHOOSE(F38,C38,D38)</f>
        <v xml:space="preserve"> Gold deposits</v>
      </c>
      <c r="C38" t="s">
        <v>6530</v>
      </c>
      <c r="D38" t="s">
        <v>6531</v>
      </c>
      <c r="F38">
        <f ca="1">RANDBETWEEN(1,2)</f>
        <v>1</v>
      </c>
      <c r="L38">
        <f ca="1">RANDBETWEEN(18,20)</f>
        <v>18</v>
      </c>
      <c r="M38" s="7" t="s">
        <v>6527</v>
      </c>
      <c r="N38" t="str">
        <f ca="1">CHOOSE(L38,,,,,,,,,,,,,,,,,,B53,B54,B55)</f>
        <v xml:space="preserve"> Cattle</v>
      </c>
    </row>
    <row r="39" spans="1:14">
      <c r="A39" s="5">
        <v>4</v>
      </c>
      <c r="B39" t="str">
        <f ca="1">CHOOSE(F39,C39,D39)</f>
        <v xml:space="preserve"> granite deposits</v>
      </c>
      <c r="C39" t="s">
        <v>6535</v>
      </c>
      <c r="D39" t="s">
        <v>6532</v>
      </c>
      <c r="F39">
        <f ca="1">RANDBETWEEN(1,2)</f>
        <v>2</v>
      </c>
    </row>
    <row r="40" spans="1:14">
      <c r="A40" s="5">
        <v>5</v>
      </c>
      <c r="B40" t="str">
        <f ca="1">CHOOSE(F40,C40,D40)</f>
        <v>salt deposits</v>
      </c>
      <c r="C40" t="s">
        <v>6536</v>
      </c>
      <c r="D40" t="s">
        <v>6533</v>
      </c>
      <c r="F40">
        <f ca="1">RANDBETWEEN(1,2)</f>
        <v>2</v>
      </c>
    </row>
    <row r="41" spans="1:14">
      <c r="A41" s="5">
        <v>6</v>
      </c>
      <c r="B41" t="str">
        <f ca="1">CHOOSE(F41,C41,D41)</f>
        <v xml:space="preserve"> Peat deposits</v>
      </c>
      <c r="C41" t="s">
        <v>6537</v>
      </c>
      <c r="D41" t="s">
        <v>6534</v>
      </c>
      <c r="F41">
        <f ca="1">RANDBETWEEN(1,2)</f>
        <v>1</v>
      </c>
    </row>
    <row r="42" spans="1:14">
      <c r="A42" s="5">
        <v>7</v>
      </c>
      <c r="B42" t="s">
        <v>6213</v>
      </c>
    </row>
    <row r="43" spans="1:14">
      <c r="A43" s="5">
        <v>8</v>
      </c>
      <c r="B43" t="s">
        <v>6214</v>
      </c>
    </row>
    <row r="44" spans="1:14">
      <c r="A44" s="5">
        <v>9</v>
      </c>
      <c r="B44" t="s">
        <v>6215</v>
      </c>
    </row>
    <row r="45" spans="1:14">
      <c r="A45" s="5">
        <v>10</v>
      </c>
      <c r="B45" t="s">
        <v>6216</v>
      </c>
    </row>
    <row r="46" spans="1:14">
      <c r="A46" s="5">
        <v>11</v>
      </c>
      <c r="B46" t="str">
        <f ca="1">CHOOSE(F46,C46,D46)</f>
        <v xml:space="preserve"> wheat</v>
      </c>
      <c r="C46" t="s">
        <v>6538</v>
      </c>
      <c r="D46" t="s">
        <v>6539</v>
      </c>
      <c r="F46">
        <f ca="1">RANDBETWEEN(1,2)</f>
        <v>2</v>
      </c>
    </row>
    <row r="47" spans="1:14">
      <c r="A47" s="5">
        <v>12</v>
      </c>
      <c r="B47" t="s">
        <v>6217</v>
      </c>
    </row>
    <row r="48" spans="1:14">
      <c r="A48" s="5">
        <v>13</v>
      </c>
      <c r="B48" t="s">
        <v>6218</v>
      </c>
    </row>
    <row r="49" spans="1:2">
      <c r="A49" s="5">
        <v>14</v>
      </c>
      <c r="B49" t="s">
        <v>6219</v>
      </c>
    </row>
    <row r="50" spans="1:2">
      <c r="A50" s="5">
        <v>15</v>
      </c>
      <c r="B50" t="s">
        <v>6220</v>
      </c>
    </row>
    <row r="51" spans="1:2">
      <c r="A51" s="5">
        <v>16</v>
      </c>
      <c r="B51" t="s">
        <v>6221</v>
      </c>
    </row>
    <row r="52" spans="1:2">
      <c r="A52" s="5">
        <v>17</v>
      </c>
      <c r="B52" t="s">
        <v>6222</v>
      </c>
    </row>
    <row r="53" spans="1:2">
      <c r="A53" s="5">
        <v>18</v>
      </c>
      <c r="B53" t="s">
        <v>6223</v>
      </c>
    </row>
    <row r="54" spans="1:2">
      <c r="A54" s="5">
        <v>19</v>
      </c>
      <c r="B54" t="s">
        <v>6224</v>
      </c>
    </row>
    <row r="55" spans="1:2">
      <c r="A55" s="5">
        <v>20</v>
      </c>
      <c r="B55" t="s">
        <v>6225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97C25-DC93-4763-B113-F3846C26498A}">
  <sheetPr codeName="Лист3">
    <tabColor rgb="FFFFFF00"/>
  </sheetPr>
  <dimension ref="A1:AA128"/>
  <sheetViews>
    <sheetView workbookViewId="0">
      <selection activeCell="A35" sqref="A35:O55"/>
    </sheetView>
  </sheetViews>
  <sheetFormatPr defaultRowHeight="15"/>
  <cols>
    <col min="1" max="1" width="5.140625" style="6" customWidth="1"/>
    <col min="8" max="8" width="16.42578125" bestFit="1" customWidth="1"/>
    <col min="9" max="9" width="17.28515625" bestFit="1" customWidth="1"/>
    <col min="10" max="10" width="18.28515625" bestFit="1" customWidth="1"/>
    <col min="11" max="11" width="17.28515625" bestFit="1" customWidth="1"/>
    <col min="12" max="12" width="17.85546875" bestFit="1" customWidth="1"/>
    <col min="13" max="13" width="18.140625" bestFit="1" customWidth="1"/>
    <col min="14" max="14" width="18.42578125" bestFit="1" customWidth="1"/>
    <col min="15" max="15" width="17.28515625" bestFit="1" customWidth="1"/>
    <col min="16" max="16" width="15" bestFit="1" customWidth="1"/>
    <col min="17" max="17" width="16.85546875" bestFit="1" customWidth="1"/>
    <col min="18" max="18" width="13.85546875" bestFit="1" customWidth="1"/>
    <col min="19" max="19" width="13.7109375" bestFit="1" customWidth="1"/>
    <col min="20" max="20" width="12.42578125" bestFit="1" customWidth="1"/>
    <col min="21" max="21" width="11.85546875" bestFit="1" customWidth="1"/>
    <col min="22" max="22" width="12.28515625" bestFit="1" customWidth="1"/>
    <col min="23" max="23" width="12.42578125" bestFit="1" customWidth="1"/>
    <col min="24" max="24" width="13.7109375" bestFit="1" customWidth="1"/>
    <col min="25" max="25" width="12.5703125" bestFit="1" customWidth="1"/>
    <col min="26" max="26" width="13.42578125" bestFit="1" customWidth="1"/>
    <col min="27" max="27" width="14.28515625" bestFit="1" customWidth="1"/>
  </cols>
  <sheetData>
    <row r="1" spans="1:27" ht="18.75">
      <c r="A1" s="4" t="s">
        <v>82</v>
      </c>
    </row>
    <row r="2" spans="1:27" ht="18.75">
      <c r="A2" s="4"/>
    </row>
    <row r="3" spans="1:27">
      <c r="A3" s="3" t="s">
        <v>6572</v>
      </c>
      <c r="F3" s="3" t="s">
        <v>6573</v>
      </c>
    </row>
    <row r="4" spans="1:27">
      <c r="A4" s="3" t="s">
        <v>6567</v>
      </c>
      <c r="F4" s="3" t="s">
        <v>6567</v>
      </c>
    </row>
    <row r="5" spans="1:27">
      <c r="A5" s="5">
        <v>1</v>
      </c>
      <c r="B5" t="s">
        <v>6320</v>
      </c>
      <c r="F5" s="5">
        <v>1</v>
      </c>
      <c r="G5" t="s">
        <v>6361</v>
      </c>
      <c r="H5" t="s">
        <v>6362</v>
      </c>
      <c r="I5" t="s">
        <v>6363</v>
      </c>
      <c r="J5" t="s">
        <v>6364</v>
      </c>
      <c r="K5" t="s">
        <v>6365</v>
      </c>
      <c r="L5" t="s">
        <v>6366</v>
      </c>
      <c r="M5" t="s">
        <v>6367</v>
      </c>
      <c r="N5" t="s">
        <v>6368</v>
      </c>
      <c r="O5" t="s">
        <v>6340</v>
      </c>
    </row>
    <row r="6" spans="1:27">
      <c r="A6" s="5">
        <v>2</v>
      </c>
      <c r="B6" t="s">
        <v>6321</v>
      </c>
      <c r="F6" s="5">
        <v>2</v>
      </c>
      <c r="G6" t="s">
        <v>6361</v>
      </c>
      <c r="H6" t="s">
        <v>6372</v>
      </c>
      <c r="I6" t="s">
        <v>6389</v>
      </c>
      <c r="J6" t="s">
        <v>6405</v>
      </c>
      <c r="K6" t="s">
        <v>6423</v>
      </c>
      <c r="L6" t="s">
        <v>6441</v>
      </c>
      <c r="M6" t="s">
        <v>6459</v>
      </c>
      <c r="N6" t="s">
        <v>6477</v>
      </c>
      <c r="O6" t="s">
        <v>6341</v>
      </c>
    </row>
    <row r="7" spans="1:27">
      <c r="A7" s="5">
        <v>3</v>
      </c>
      <c r="B7" t="s">
        <v>6322</v>
      </c>
      <c r="F7" s="5">
        <v>3</v>
      </c>
      <c r="G7" t="s">
        <v>6361</v>
      </c>
      <c r="H7" t="s">
        <v>6373</v>
      </c>
      <c r="I7" t="s">
        <v>6520</v>
      </c>
      <c r="J7" t="s">
        <v>6406</v>
      </c>
      <c r="K7" t="s">
        <v>6424</v>
      </c>
      <c r="L7" t="s">
        <v>6442</v>
      </c>
      <c r="M7" t="s">
        <v>6460</v>
      </c>
      <c r="N7" t="s">
        <v>6478</v>
      </c>
      <c r="O7" t="s">
        <v>6342</v>
      </c>
    </row>
    <row r="8" spans="1:27">
      <c r="A8" s="5">
        <v>4</v>
      </c>
      <c r="B8" t="s">
        <v>6323</v>
      </c>
      <c r="F8" s="5">
        <v>4</v>
      </c>
      <c r="G8" t="s">
        <v>6361</v>
      </c>
      <c r="H8" t="s">
        <v>6374</v>
      </c>
      <c r="I8" t="s">
        <v>6390</v>
      </c>
      <c r="J8" t="s">
        <v>6407</v>
      </c>
      <c r="K8" t="s">
        <v>6425</v>
      </c>
      <c r="L8" t="s">
        <v>6443</v>
      </c>
      <c r="M8" t="s">
        <v>6461</v>
      </c>
      <c r="N8" t="s">
        <v>6479</v>
      </c>
      <c r="O8" t="s">
        <v>6343</v>
      </c>
    </row>
    <row r="9" spans="1:27">
      <c r="A9" s="5">
        <v>5</v>
      </c>
      <c r="B9" t="s">
        <v>6324</v>
      </c>
      <c r="F9" s="5">
        <v>5</v>
      </c>
      <c r="G9" t="s">
        <v>6369</v>
      </c>
      <c r="H9" t="s">
        <v>6375</v>
      </c>
      <c r="I9" t="s">
        <v>6391</v>
      </c>
      <c r="J9" t="s">
        <v>6408</v>
      </c>
      <c r="K9" t="s">
        <v>6426</v>
      </c>
      <c r="L9" t="s">
        <v>6444</v>
      </c>
      <c r="M9" t="s">
        <v>6462</v>
      </c>
      <c r="N9" t="s">
        <v>6480</v>
      </c>
      <c r="O9" t="s">
        <v>6495</v>
      </c>
      <c r="P9" t="s">
        <v>6500</v>
      </c>
      <c r="Q9" t="s">
        <v>6505</v>
      </c>
      <c r="R9" t="s">
        <v>6508</v>
      </c>
      <c r="S9" t="s">
        <v>6511</v>
      </c>
      <c r="T9" t="s">
        <v>6512</v>
      </c>
      <c r="U9" t="s">
        <v>6344</v>
      </c>
      <c r="V9" t="s">
        <v>6513</v>
      </c>
      <c r="W9" t="s">
        <v>6514</v>
      </c>
      <c r="X9" t="s">
        <v>6515</v>
      </c>
      <c r="Y9" t="s">
        <v>6516</v>
      </c>
      <c r="Z9" t="s">
        <v>6517</v>
      </c>
      <c r="AA9" t="s">
        <v>6345</v>
      </c>
    </row>
    <row r="10" spans="1:27">
      <c r="A10" s="5">
        <v>6</v>
      </c>
      <c r="B10" t="s">
        <v>6325</v>
      </c>
      <c r="F10" s="5">
        <v>6</v>
      </c>
      <c r="G10" t="s">
        <v>6370</v>
      </c>
      <c r="H10" t="s">
        <v>6376</v>
      </c>
      <c r="I10" t="s">
        <v>6392</v>
      </c>
      <c r="J10" t="s">
        <v>6409</v>
      </c>
      <c r="K10" t="s">
        <v>6427</v>
      </c>
      <c r="L10" t="s">
        <v>6445</v>
      </c>
      <c r="M10" t="s">
        <v>6463</v>
      </c>
      <c r="N10" t="s">
        <v>6481</v>
      </c>
      <c r="O10" t="s">
        <v>6496</v>
      </c>
      <c r="P10" t="s">
        <v>6501</v>
      </c>
      <c r="Q10" t="s">
        <v>6346</v>
      </c>
    </row>
    <row r="11" spans="1:27">
      <c r="A11" s="5">
        <v>7</v>
      </c>
      <c r="B11" t="s">
        <v>6326</v>
      </c>
      <c r="F11" s="5">
        <v>7</v>
      </c>
      <c r="G11" t="s">
        <v>6370</v>
      </c>
      <c r="H11" t="s">
        <v>6518</v>
      </c>
      <c r="I11" t="s">
        <v>6519</v>
      </c>
      <c r="J11" t="s">
        <v>6410</v>
      </c>
      <c r="K11" t="s">
        <v>6428</v>
      </c>
      <c r="L11" t="s">
        <v>6446</v>
      </c>
      <c r="M11" t="s">
        <v>6464</v>
      </c>
      <c r="N11" t="s">
        <v>6482</v>
      </c>
      <c r="O11" t="s">
        <v>6497</v>
      </c>
      <c r="P11" t="s">
        <v>6502</v>
      </c>
      <c r="Q11" t="s">
        <v>6347</v>
      </c>
    </row>
    <row r="12" spans="1:27">
      <c r="A12" s="5">
        <v>8</v>
      </c>
      <c r="B12" t="s">
        <v>6327</v>
      </c>
      <c r="F12" s="5">
        <v>8</v>
      </c>
      <c r="H12" t="s">
        <v>6348</v>
      </c>
    </row>
    <row r="13" spans="1:27">
      <c r="A13" s="5">
        <v>9</v>
      </c>
      <c r="B13" t="s">
        <v>6328</v>
      </c>
      <c r="F13" s="5">
        <v>9</v>
      </c>
      <c r="G13" t="s">
        <v>6361</v>
      </c>
      <c r="H13" t="s">
        <v>6377</v>
      </c>
      <c r="I13" t="s">
        <v>6393</v>
      </c>
      <c r="J13" t="s">
        <v>6411</v>
      </c>
      <c r="K13" t="s">
        <v>6429</v>
      </c>
      <c r="L13" t="s">
        <v>6447</v>
      </c>
      <c r="M13" t="s">
        <v>6465</v>
      </c>
      <c r="N13" t="s">
        <v>6483</v>
      </c>
      <c r="O13" t="s">
        <v>6349</v>
      </c>
    </row>
    <row r="14" spans="1:27">
      <c r="A14" s="5">
        <v>10</v>
      </c>
      <c r="B14" t="s">
        <v>6329</v>
      </c>
      <c r="F14" s="5">
        <v>10</v>
      </c>
      <c r="G14" t="s">
        <v>6361</v>
      </c>
      <c r="H14" t="s">
        <v>6378</v>
      </c>
      <c r="I14" t="s">
        <v>6394</v>
      </c>
      <c r="J14" t="s">
        <v>6412</v>
      </c>
      <c r="K14" t="s">
        <v>6430</v>
      </c>
      <c r="L14" t="s">
        <v>6448</v>
      </c>
      <c r="M14" t="s">
        <v>6466</v>
      </c>
      <c r="N14" t="s">
        <v>6484</v>
      </c>
      <c r="O14" t="s">
        <v>6350</v>
      </c>
    </row>
    <row r="15" spans="1:27">
      <c r="A15" s="5">
        <v>11</v>
      </c>
      <c r="B15" t="s">
        <v>6330</v>
      </c>
      <c r="F15" s="5">
        <v>11</v>
      </c>
      <c r="G15" t="s">
        <v>6361</v>
      </c>
      <c r="H15" t="s">
        <v>6379</v>
      </c>
      <c r="I15" t="s">
        <v>6395</v>
      </c>
      <c r="J15" t="s">
        <v>6413</v>
      </c>
      <c r="K15" t="s">
        <v>6431</v>
      </c>
      <c r="L15" t="s">
        <v>6449</v>
      </c>
      <c r="M15" t="s">
        <v>6467</v>
      </c>
      <c r="N15" t="s">
        <v>6485</v>
      </c>
      <c r="O15" t="s">
        <v>6351</v>
      </c>
    </row>
    <row r="16" spans="1:27">
      <c r="A16" s="5">
        <v>12</v>
      </c>
      <c r="B16" t="s">
        <v>6331</v>
      </c>
      <c r="F16" s="5">
        <v>12</v>
      </c>
      <c r="G16" t="s">
        <v>6361</v>
      </c>
      <c r="H16" t="s">
        <v>6380</v>
      </c>
      <c r="I16" t="s">
        <v>6396</v>
      </c>
      <c r="J16" t="s">
        <v>6414</v>
      </c>
      <c r="K16" t="s">
        <v>6432</v>
      </c>
      <c r="L16" t="s">
        <v>6450</v>
      </c>
      <c r="M16" t="s">
        <v>6468</v>
      </c>
      <c r="N16" t="s">
        <v>6486</v>
      </c>
      <c r="O16" t="s">
        <v>6352</v>
      </c>
    </row>
    <row r="17" spans="1:19">
      <c r="A17" s="5">
        <v>13</v>
      </c>
      <c r="B17" t="s">
        <v>6332</v>
      </c>
      <c r="F17" s="5">
        <v>13</v>
      </c>
      <c r="G17" t="s">
        <v>6361</v>
      </c>
      <c r="H17" t="s">
        <v>6381</v>
      </c>
      <c r="I17" t="s">
        <v>6397</v>
      </c>
      <c r="J17" t="s">
        <v>6415</v>
      </c>
      <c r="K17" t="s">
        <v>6433</v>
      </c>
      <c r="L17" t="s">
        <v>6451</v>
      </c>
      <c r="M17" t="s">
        <v>6469</v>
      </c>
      <c r="N17" t="s">
        <v>6487</v>
      </c>
      <c r="O17" t="s">
        <v>6353</v>
      </c>
    </row>
    <row r="18" spans="1:19">
      <c r="A18" s="5">
        <v>14</v>
      </c>
      <c r="B18" t="s">
        <v>6333</v>
      </c>
      <c r="F18" s="5">
        <v>14</v>
      </c>
      <c r="G18" t="s">
        <v>6361</v>
      </c>
      <c r="H18" t="s">
        <v>6382</v>
      </c>
      <c r="I18" t="s">
        <v>6398</v>
      </c>
      <c r="J18" t="s">
        <v>6416</v>
      </c>
      <c r="K18" t="s">
        <v>6434</v>
      </c>
      <c r="L18" t="s">
        <v>6452</v>
      </c>
      <c r="M18" t="s">
        <v>6470</v>
      </c>
      <c r="N18" t="s">
        <v>6488</v>
      </c>
      <c r="O18" t="s">
        <v>6354</v>
      </c>
    </row>
    <row r="19" spans="1:19">
      <c r="A19" s="5">
        <v>15</v>
      </c>
      <c r="B19" t="s">
        <v>6334</v>
      </c>
      <c r="F19" s="5">
        <v>15</v>
      </c>
      <c r="G19" t="s">
        <v>6361</v>
      </c>
      <c r="H19" t="s">
        <v>6383</v>
      </c>
      <c r="I19" t="s">
        <v>6399</v>
      </c>
      <c r="J19" t="s">
        <v>6417</v>
      </c>
      <c r="K19" t="s">
        <v>6435</v>
      </c>
      <c r="L19" t="s">
        <v>6453</v>
      </c>
      <c r="M19" t="s">
        <v>6471</v>
      </c>
      <c r="N19" t="s">
        <v>6489</v>
      </c>
      <c r="O19" t="s">
        <v>6355</v>
      </c>
    </row>
    <row r="20" spans="1:19">
      <c r="A20" s="5">
        <v>16</v>
      </c>
      <c r="B20" t="s">
        <v>6335</v>
      </c>
      <c r="F20" s="5">
        <v>16</v>
      </c>
      <c r="G20" t="s">
        <v>6371</v>
      </c>
      <c r="H20" t="s">
        <v>6384</v>
      </c>
      <c r="I20" t="s">
        <v>6400</v>
      </c>
      <c r="J20" t="s">
        <v>6418</v>
      </c>
      <c r="K20" t="s">
        <v>6436</v>
      </c>
      <c r="L20" t="s">
        <v>6454</v>
      </c>
      <c r="M20" t="s">
        <v>6472</v>
      </c>
      <c r="N20" t="s">
        <v>6490</v>
      </c>
      <c r="O20" t="s">
        <v>6498</v>
      </c>
      <c r="P20" t="s">
        <v>6503</v>
      </c>
      <c r="Q20" t="s">
        <v>6506</v>
      </c>
      <c r="R20" t="s">
        <v>6509</v>
      </c>
      <c r="S20" t="s">
        <v>6356</v>
      </c>
    </row>
    <row r="21" spans="1:19">
      <c r="A21" s="5">
        <v>17</v>
      </c>
      <c r="B21" t="s">
        <v>6336</v>
      </c>
      <c r="F21" s="5">
        <v>17</v>
      </c>
      <c r="G21" t="s">
        <v>6361</v>
      </c>
      <c r="H21" t="s">
        <v>6385</v>
      </c>
      <c r="I21" t="s">
        <v>6401</v>
      </c>
      <c r="J21" t="s">
        <v>6419</v>
      </c>
      <c r="K21" t="s">
        <v>6437</v>
      </c>
      <c r="L21" t="s">
        <v>6455</v>
      </c>
      <c r="M21" t="s">
        <v>6473</v>
      </c>
      <c r="N21" t="s">
        <v>6491</v>
      </c>
      <c r="O21" t="s">
        <v>6357</v>
      </c>
    </row>
    <row r="22" spans="1:19">
      <c r="A22" s="5">
        <v>18</v>
      </c>
      <c r="B22" t="s">
        <v>6337</v>
      </c>
      <c r="F22" s="5">
        <v>18</v>
      </c>
      <c r="G22" t="s">
        <v>6371</v>
      </c>
      <c r="H22" t="s">
        <v>6386</v>
      </c>
      <c r="I22" t="s">
        <v>6402</v>
      </c>
      <c r="J22" t="s">
        <v>6420</v>
      </c>
      <c r="K22" t="s">
        <v>6438</v>
      </c>
      <c r="L22" t="s">
        <v>6456</v>
      </c>
      <c r="M22" t="s">
        <v>6474</v>
      </c>
      <c r="N22" t="s">
        <v>6492</v>
      </c>
      <c r="O22" t="s">
        <v>6499</v>
      </c>
      <c r="P22" t="s">
        <v>6504</v>
      </c>
      <c r="Q22" t="s">
        <v>6507</v>
      </c>
      <c r="R22" t="s">
        <v>6510</v>
      </c>
      <c r="S22" t="s">
        <v>6358</v>
      </c>
    </row>
    <row r="23" spans="1:19">
      <c r="A23" s="5">
        <v>19</v>
      </c>
      <c r="B23" t="s">
        <v>6338</v>
      </c>
      <c r="F23" s="5">
        <v>19</v>
      </c>
      <c r="G23" t="s">
        <v>6361</v>
      </c>
      <c r="H23" t="s">
        <v>6387</v>
      </c>
      <c r="I23" t="s">
        <v>6403</v>
      </c>
      <c r="J23" t="s">
        <v>6421</v>
      </c>
      <c r="K23" t="s">
        <v>6439</v>
      </c>
      <c r="L23" t="s">
        <v>6457</v>
      </c>
      <c r="M23" t="s">
        <v>6475</v>
      </c>
      <c r="N23" t="s">
        <v>6493</v>
      </c>
      <c r="O23" t="s">
        <v>6359</v>
      </c>
    </row>
    <row r="24" spans="1:19">
      <c r="A24" s="5">
        <v>20</v>
      </c>
      <c r="B24" t="s">
        <v>6339</v>
      </c>
      <c r="F24" s="5">
        <v>20</v>
      </c>
      <c r="G24" t="s">
        <v>6361</v>
      </c>
      <c r="H24" t="s">
        <v>6388</v>
      </c>
      <c r="I24" t="s">
        <v>6404</v>
      </c>
      <c r="J24" t="s">
        <v>6422</v>
      </c>
      <c r="K24" t="s">
        <v>6440</v>
      </c>
      <c r="L24" t="s">
        <v>6458</v>
      </c>
      <c r="M24" t="s">
        <v>6476</v>
      </c>
      <c r="N24" t="s">
        <v>6494</v>
      </c>
      <c r="O24" t="s">
        <v>6360</v>
      </c>
    </row>
    <row r="25" spans="1:19">
      <c r="A25" s="5"/>
      <c r="F25" s="6"/>
    </row>
    <row r="26" spans="1:19">
      <c r="F26" s="6"/>
    </row>
    <row r="27" spans="1:19">
      <c r="F27" s="6"/>
    </row>
    <row r="28" spans="1:19">
      <c r="F28" s="6"/>
    </row>
    <row r="29" spans="1:19">
      <c r="F29" s="6"/>
    </row>
    <row r="30" spans="1:19">
      <c r="F30" s="6"/>
    </row>
    <row r="31" spans="1:19">
      <c r="F31" s="6"/>
    </row>
    <row r="32" spans="1:19">
      <c r="F32" s="6"/>
    </row>
    <row r="33" spans="6:6">
      <c r="F33" s="6"/>
    </row>
    <row r="34" spans="6:6">
      <c r="F34" s="6"/>
    </row>
    <row r="35" spans="6:6">
      <c r="F35" s="6"/>
    </row>
    <row r="36" spans="6:6">
      <c r="F36" s="6"/>
    </row>
    <row r="37" spans="6:6">
      <c r="F37" s="6"/>
    </row>
    <row r="38" spans="6:6">
      <c r="F38" s="6"/>
    </row>
    <row r="39" spans="6:6">
      <c r="F39" s="6"/>
    </row>
    <row r="40" spans="6:6">
      <c r="F40" s="6"/>
    </row>
    <row r="41" spans="6:6">
      <c r="F41" s="6"/>
    </row>
    <row r="42" spans="6:6">
      <c r="F42" s="6"/>
    </row>
    <row r="43" spans="6:6">
      <c r="F43" s="6"/>
    </row>
    <row r="44" spans="6:6">
      <c r="F44" s="6"/>
    </row>
    <row r="45" spans="6:6">
      <c r="F45" s="6"/>
    </row>
    <row r="46" spans="6:6">
      <c r="F46" s="6"/>
    </row>
    <row r="47" spans="6:6">
      <c r="F47" s="6"/>
    </row>
    <row r="48" spans="6:6">
      <c r="F48" s="6"/>
    </row>
    <row r="49" spans="6:6">
      <c r="F49" s="6"/>
    </row>
    <row r="50" spans="6:6">
      <c r="F50" s="6"/>
    </row>
    <row r="51" spans="6:6">
      <c r="F51" s="6"/>
    </row>
    <row r="52" spans="6:6">
      <c r="F52" s="6"/>
    </row>
    <row r="53" spans="6:6">
      <c r="F53" s="6"/>
    </row>
    <row r="54" spans="6:6">
      <c r="F54" s="6"/>
    </row>
    <row r="55" spans="6:6">
      <c r="F55" s="6"/>
    </row>
    <row r="56" spans="6:6">
      <c r="F56" s="6"/>
    </row>
    <row r="57" spans="6:6">
      <c r="F57" s="6"/>
    </row>
    <row r="58" spans="6:6">
      <c r="F58" s="6"/>
    </row>
    <row r="59" spans="6:6">
      <c r="F59" s="6"/>
    </row>
    <row r="60" spans="6:6">
      <c r="F60" s="6"/>
    </row>
    <row r="61" spans="6:6">
      <c r="F61" s="6"/>
    </row>
    <row r="62" spans="6:6">
      <c r="F62" s="6"/>
    </row>
    <row r="63" spans="6:6">
      <c r="F63" s="6"/>
    </row>
    <row r="64" spans="6:6">
      <c r="F64" s="6"/>
    </row>
    <row r="65" spans="6:6">
      <c r="F65" s="6"/>
    </row>
    <row r="66" spans="6:6">
      <c r="F66" s="6"/>
    </row>
    <row r="67" spans="6:6">
      <c r="F67" s="6"/>
    </row>
    <row r="68" spans="6:6">
      <c r="F68" s="6"/>
    </row>
    <row r="69" spans="6:6">
      <c r="F69" s="6"/>
    </row>
    <row r="70" spans="6:6">
      <c r="F70" s="6"/>
    </row>
    <row r="71" spans="6:6">
      <c r="F71" s="6"/>
    </row>
    <row r="72" spans="6:6">
      <c r="F72" s="6"/>
    </row>
    <row r="73" spans="6:6">
      <c r="F73" s="6"/>
    </row>
    <row r="74" spans="6:6">
      <c r="F74" s="6"/>
    </row>
    <row r="75" spans="6:6">
      <c r="F75" s="6"/>
    </row>
    <row r="76" spans="6:6">
      <c r="F76" s="6"/>
    </row>
    <row r="77" spans="6:6">
      <c r="F77" s="6"/>
    </row>
    <row r="78" spans="6:6">
      <c r="F78" s="6"/>
    </row>
    <row r="79" spans="6:6">
      <c r="F79" s="6"/>
    </row>
    <row r="80" spans="6:6">
      <c r="F80" s="6"/>
    </row>
    <row r="81" spans="6:6">
      <c r="F81" s="6"/>
    </row>
    <row r="82" spans="6:6">
      <c r="F82" s="6"/>
    </row>
    <row r="83" spans="6:6">
      <c r="F83" s="6"/>
    </row>
    <row r="84" spans="6:6">
      <c r="F84" s="6"/>
    </row>
    <row r="85" spans="6:6">
      <c r="F85" s="6"/>
    </row>
    <row r="86" spans="6:6">
      <c r="F86" s="6"/>
    </row>
    <row r="87" spans="6:6">
      <c r="F87" s="6"/>
    </row>
    <row r="88" spans="6:6">
      <c r="F88" s="6"/>
    </row>
    <row r="89" spans="6:6">
      <c r="F89" s="6"/>
    </row>
    <row r="90" spans="6:6">
      <c r="F90" s="6"/>
    </row>
    <row r="91" spans="6:6">
      <c r="F91" s="6"/>
    </row>
    <row r="92" spans="6:6">
      <c r="F92" s="6"/>
    </row>
    <row r="93" spans="6:6">
      <c r="F93" s="6"/>
    </row>
    <row r="94" spans="6:6">
      <c r="F94" s="6"/>
    </row>
    <row r="95" spans="6:6">
      <c r="F95" s="6"/>
    </row>
    <row r="96" spans="6:6">
      <c r="F96" s="6"/>
    </row>
    <row r="97" spans="6:6">
      <c r="F97" s="6"/>
    </row>
    <row r="98" spans="6:6">
      <c r="F98" s="6"/>
    </row>
    <row r="99" spans="6:6">
      <c r="F99" s="6"/>
    </row>
    <row r="100" spans="6:6">
      <c r="F100" s="6"/>
    </row>
    <row r="101" spans="6:6">
      <c r="F101" s="6"/>
    </row>
    <row r="102" spans="6:6">
      <c r="F102" s="6"/>
    </row>
    <row r="103" spans="6:6">
      <c r="F103" s="6"/>
    </row>
    <row r="104" spans="6:6">
      <c r="F104" s="6"/>
    </row>
    <row r="105" spans="6:6">
      <c r="F105" s="6"/>
    </row>
    <row r="106" spans="6:6">
      <c r="F106" s="6"/>
    </row>
    <row r="107" spans="6:6">
      <c r="F107" s="6"/>
    </row>
    <row r="108" spans="6:6">
      <c r="F108" s="6"/>
    </row>
    <row r="109" spans="6:6">
      <c r="F109" s="6"/>
    </row>
    <row r="110" spans="6:6">
      <c r="F110" s="6"/>
    </row>
    <row r="111" spans="6:6">
      <c r="F111" s="6"/>
    </row>
    <row r="112" spans="6:6">
      <c r="F112" s="6"/>
    </row>
    <row r="113" spans="6:6">
      <c r="F113" s="6"/>
    </row>
    <row r="114" spans="6:6">
      <c r="F114" s="6"/>
    </row>
    <row r="115" spans="6:6">
      <c r="F115" s="6"/>
    </row>
    <row r="116" spans="6:6">
      <c r="F116" s="6"/>
    </row>
    <row r="117" spans="6:6">
      <c r="F117" s="6"/>
    </row>
    <row r="118" spans="6:6">
      <c r="F118" s="6"/>
    </row>
    <row r="119" spans="6:6">
      <c r="F119" s="6"/>
    </row>
    <row r="120" spans="6:6">
      <c r="F120" s="6"/>
    </row>
    <row r="121" spans="6:6">
      <c r="F121" s="6"/>
    </row>
    <row r="122" spans="6:6">
      <c r="F122" s="6"/>
    </row>
    <row r="123" spans="6:6">
      <c r="F123" s="6"/>
    </row>
    <row r="124" spans="6:6">
      <c r="F124" s="6"/>
    </row>
    <row r="125" spans="6:6">
      <c r="F125" s="6"/>
    </row>
    <row r="126" spans="6:6">
      <c r="F126" s="6"/>
    </row>
    <row r="127" spans="6:6">
      <c r="F127" s="6"/>
    </row>
    <row r="128" spans="6:6">
      <c r="F128" s="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72507-F55C-45E6-ABB4-9E2176323B03}">
  <sheetPr codeName="Лист21">
    <tabColor rgb="FFFFFF00"/>
  </sheetPr>
  <dimension ref="A1:Z46"/>
  <sheetViews>
    <sheetView tabSelected="1" workbookViewId="0">
      <selection activeCell="W16" sqref="W16"/>
    </sheetView>
  </sheetViews>
  <sheetFormatPr defaultRowHeight="15"/>
  <cols>
    <col min="1" max="1" width="9.140625" customWidth="1"/>
    <col min="12" max="13" width="9.140625" customWidth="1"/>
  </cols>
  <sheetData>
    <row r="1" spans="1:23">
      <c r="A1" t="s">
        <v>5</v>
      </c>
      <c r="V1">
        <f>V2-U2</f>
        <v>-20</v>
      </c>
    </row>
    <row r="2" spans="1:23">
      <c r="A2" s="2" t="s">
        <v>6121</v>
      </c>
      <c r="B2" t="s">
        <v>6158</v>
      </c>
      <c r="U2">
        <v>93</v>
      </c>
      <c r="V2">
        <f>93-SUM(V3:V10)</f>
        <v>73</v>
      </c>
    </row>
    <row r="3" spans="1:23">
      <c r="A3" s="2" t="s">
        <v>6168</v>
      </c>
      <c r="B3" t="s">
        <v>6521</v>
      </c>
      <c r="V3">
        <v>7</v>
      </c>
      <c r="W3" t="s">
        <v>6521</v>
      </c>
    </row>
    <row r="4" spans="1:23">
      <c r="A4" s="2" t="s">
        <v>6561</v>
      </c>
      <c r="B4" t="s">
        <v>6596</v>
      </c>
      <c r="V4">
        <v>3</v>
      </c>
      <c r="W4" t="s">
        <v>6596</v>
      </c>
    </row>
    <row r="5" spans="1:23">
      <c r="A5" s="2">
        <v>8</v>
      </c>
      <c r="B5" t="s">
        <v>6598</v>
      </c>
      <c r="V5">
        <v>1</v>
      </c>
      <c r="W5" t="s">
        <v>6598</v>
      </c>
    </row>
    <row r="6" spans="1:23">
      <c r="A6" s="2" t="s">
        <v>6595</v>
      </c>
      <c r="B6" t="s">
        <v>6597</v>
      </c>
      <c r="V6">
        <v>3</v>
      </c>
      <c r="W6" t="s">
        <v>6597</v>
      </c>
    </row>
    <row r="7" spans="1:23">
      <c r="A7" s="2" t="s">
        <v>6140</v>
      </c>
      <c r="B7" t="s">
        <v>6522</v>
      </c>
      <c r="V7">
        <v>1</v>
      </c>
      <c r="W7" t="s">
        <v>6522</v>
      </c>
    </row>
    <row r="8" spans="1:23">
      <c r="A8" s="2" t="s">
        <v>6141</v>
      </c>
      <c r="B8" t="s">
        <v>6580</v>
      </c>
      <c r="V8">
        <v>0</v>
      </c>
      <c r="W8" t="s">
        <v>6580</v>
      </c>
    </row>
    <row r="9" spans="1:23">
      <c r="A9" s="2" t="s">
        <v>6142</v>
      </c>
      <c r="B9" t="s">
        <v>6523</v>
      </c>
      <c r="V9">
        <v>2</v>
      </c>
      <c r="W9" t="s">
        <v>6523</v>
      </c>
    </row>
    <row r="10" spans="1:23">
      <c r="A10" s="2" t="s">
        <v>6143</v>
      </c>
      <c r="B10" t="s">
        <v>6524</v>
      </c>
      <c r="V10">
        <v>3</v>
      </c>
      <c r="W10" t="s">
        <v>6524</v>
      </c>
    </row>
    <row r="12" spans="1:23">
      <c r="A12" t="s">
        <v>6</v>
      </c>
      <c r="G12" t="s">
        <v>7</v>
      </c>
      <c r="M12" t="s">
        <v>9</v>
      </c>
    </row>
    <row r="13" spans="1:23">
      <c r="A13" s="2" t="s">
        <v>6121</v>
      </c>
      <c r="B13" t="s">
        <v>6158</v>
      </c>
      <c r="G13" s="2" t="s">
        <v>30</v>
      </c>
      <c r="H13" t="s">
        <v>6158</v>
      </c>
      <c r="M13" s="2" t="s">
        <v>30</v>
      </c>
      <c r="N13" t="s">
        <v>6158</v>
      </c>
    </row>
    <row r="14" spans="1:23">
      <c r="A14" s="2" t="s">
        <v>6144</v>
      </c>
      <c r="B14" t="s">
        <v>6147</v>
      </c>
      <c r="G14" s="2" t="s">
        <v>6541</v>
      </c>
      <c r="H14" t="s">
        <v>6162</v>
      </c>
      <c r="M14" s="2" t="s">
        <v>6168</v>
      </c>
      <c r="N14" t="s">
        <v>6173</v>
      </c>
    </row>
    <row r="15" spans="1:23">
      <c r="A15" s="2" t="s">
        <v>6145</v>
      </c>
      <c r="B15" t="s">
        <v>6148</v>
      </c>
      <c r="G15" s="2" t="s">
        <v>6543</v>
      </c>
      <c r="H15" t="s">
        <v>6574</v>
      </c>
      <c r="M15" s="2" t="s">
        <v>6169</v>
      </c>
      <c r="N15" t="s">
        <v>6174</v>
      </c>
      <c r="V15">
        <v>590</v>
      </c>
      <c r="W15">
        <f>V15-SUM(V19:V25)-V29-V28-V27-V33-V34-V35-V36-V37-V32-V31-V30-V26</f>
        <v>224</v>
      </c>
    </row>
    <row r="16" spans="1:23">
      <c r="A16" s="2">
        <v>9</v>
      </c>
      <c r="B16" t="s">
        <v>6149</v>
      </c>
      <c r="G16" s="2" t="s">
        <v>6170</v>
      </c>
      <c r="H16" t="s">
        <v>6308</v>
      </c>
      <c r="M16" s="2" t="s">
        <v>6170</v>
      </c>
      <c r="N16" t="s">
        <v>6175</v>
      </c>
    </row>
    <row r="17" spans="1:26">
      <c r="A17" s="2">
        <v>10</v>
      </c>
      <c r="B17" t="s">
        <v>6316</v>
      </c>
      <c r="G17" s="2" t="s">
        <v>6161</v>
      </c>
      <c r="H17" t="s">
        <v>6163</v>
      </c>
      <c r="M17" s="2" t="s">
        <v>6171</v>
      </c>
      <c r="N17" t="s">
        <v>6180</v>
      </c>
      <c r="W17" s="37"/>
    </row>
    <row r="18" spans="1:26">
      <c r="A18" s="2" t="s">
        <v>6146</v>
      </c>
      <c r="B18" t="s">
        <v>6150</v>
      </c>
      <c r="G18" s="2">
        <v>13</v>
      </c>
      <c r="H18" t="s">
        <v>6164</v>
      </c>
      <c r="M18" s="2">
        <v>15</v>
      </c>
      <c r="N18" t="s">
        <v>6176</v>
      </c>
    </row>
    <row r="19" spans="1:26">
      <c r="A19" s="2" t="s">
        <v>6142</v>
      </c>
      <c r="B19" t="s">
        <v>6151</v>
      </c>
      <c r="G19" s="2" t="s">
        <v>74</v>
      </c>
      <c r="H19" t="s">
        <v>6167</v>
      </c>
      <c r="M19" s="2" t="s">
        <v>75</v>
      </c>
      <c r="N19" t="s">
        <v>6177</v>
      </c>
      <c r="T19">
        <v>13</v>
      </c>
      <c r="U19">
        <f>T19*2</f>
        <v>26</v>
      </c>
      <c r="V19">
        <f>(1+2+4+3+9+9+3+5+1+6+5)+(5+1+3+5+1+4+6+5+2+1+1+3+5)</f>
        <v>90</v>
      </c>
      <c r="Y19">
        <v>1</v>
      </c>
      <c r="Z19" t="s">
        <v>6150</v>
      </c>
    </row>
    <row r="20" spans="1:26">
      <c r="A20" s="2">
        <v>18</v>
      </c>
      <c r="B20" t="s">
        <v>6152</v>
      </c>
      <c r="G20" s="2" t="s">
        <v>75</v>
      </c>
      <c r="H20" t="s">
        <v>6165</v>
      </c>
      <c r="M20" s="2" t="s">
        <v>6172</v>
      </c>
      <c r="N20" t="s">
        <v>6178</v>
      </c>
      <c r="V20">
        <f>1+1+1+1+1+1+1+1+1</f>
        <v>9</v>
      </c>
      <c r="Y20">
        <v>2</v>
      </c>
      <c r="Z20" t="s">
        <v>6148</v>
      </c>
    </row>
    <row r="21" spans="1:26">
      <c r="A21" s="2">
        <v>19</v>
      </c>
      <c r="B21" t="s">
        <v>6153</v>
      </c>
      <c r="G21" s="2" t="s">
        <v>6143</v>
      </c>
      <c r="H21" t="s">
        <v>6166</v>
      </c>
      <c r="M21" s="2">
        <v>20</v>
      </c>
      <c r="N21" t="s">
        <v>6179</v>
      </c>
      <c r="T21">
        <v>12</v>
      </c>
      <c r="U21">
        <f t="shared" ref="U21:U23" si="0">T21*2</f>
        <v>24</v>
      </c>
      <c r="V21">
        <f>1+1+3+1+1+1+1+1+1+1+1+1+1+1+1</f>
        <v>17</v>
      </c>
      <c r="Y21">
        <v>3</v>
      </c>
      <c r="Z21" t="s">
        <v>6149</v>
      </c>
    </row>
    <row r="22" spans="1:26">
      <c r="A22" s="2">
        <v>20</v>
      </c>
      <c r="B22" t="s">
        <v>6154</v>
      </c>
      <c r="M22" s="2"/>
      <c r="T22">
        <v>18</v>
      </c>
      <c r="U22">
        <f t="shared" si="0"/>
        <v>36</v>
      </c>
      <c r="V22">
        <f>(4+5+1+3+3+2+6+6+1+3+1+1+4+3+2+6+2+3)+(4+4+3+5+6+4+2+3+6+6+2+2+2+2+4+4+2+4)</f>
        <v>121</v>
      </c>
      <c r="Y22">
        <v>4</v>
      </c>
      <c r="Z22" t="s">
        <v>6150</v>
      </c>
    </row>
    <row r="23" spans="1:26">
      <c r="T23">
        <v>10</v>
      </c>
      <c r="U23">
        <f t="shared" si="0"/>
        <v>20</v>
      </c>
      <c r="V23">
        <f>1+1+1+1+1+(5+1+1+1+2+5)</f>
        <v>20</v>
      </c>
      <c r="Y23">
        <v>5</v>
      </c>
      <c r="Z23" t="s">
        <v>6316</v>
      </c>
    </row>
    <row r="24" spans="1:26">
      <c r="A24" s="2" t="s">
        <v>8</v>
      </c>
      <c r="G24" t="s">
        <v>10</v>
      </c>
      <c r="J24" t="s">
        <v>6160</v>
      </c>
      <c r="N24" s="2" t="s">
        <v>6586</v>
      </c>
      <c r="V24">
        <f>1+1+1+1+1+1+1+1+1</f>
        <v>9</v>
      </c>
      <c r="Y24">
        <v>6</v>
      </c>
      <c r="Z24" t="s">
        <v>6148</v>
      </c>
    </row>
    <row r="25" spans="1:26">
      <c r="A25" s="2" t="s">
        <v>30</v>
      </c>
      <c r="B25" t="s">
        <v>6158</v>
      </c>
      <c r="G25" s="2" t="s">
        <v>30</v>
      </c>
      <c r="H25" t="s">
        <v>6158</v>
      </c>
      <c r="J25" s="1" t="s">
        <v>30</v>
      </c>
      <c r="K25" s="1" t="s">
        <v>31</v>
      </c>
      <c r="L25" s="1" t="s">
        <v>32</v>
      </c>
      <c r="N25" s="2" t="s">
        <v>30</v>
      </c>
      <c r="O25" t="s">
        <v>6158</v>
      </c>
      <c r="V25">
        <f>1+1+1+1+1+1+1+1+1</f>
        <v>9</v>
      </c>
      <c r="Y25">
        <v>7</v>
      </c>
      <c r="Z25" t="s">
        <v>6148</v>
      </c>
    </row>
    <row r="26" spans="1:26">
      <c r="A26" s="2" t="s">
        <v>73</v>
      </c>
      <c r="B26" t="s">
        <v>79</v>
      </c>
      <c r="G26" s="2">
        <v>1</v>
      </c>
      <c r="H26" t="s">
        <v>6181</v>
      </c>
      <c r="J26" s="1">
        <v>1</v>
      </c>
      <c r="K26" s="1" t="s">
        <v>53</v>
      </c>
      <c r="L26" s="1" t="s">
        <v>33</v>
      </c>
      <c r="N26" s="2" t="s">
        <v>6144</v>
      </c>
      <c r="O26" t="s">
        <v>6312</v>
      </c>
      <c r="Y26">
        <v>1</v>
      </c>
      <c r="Z26" t="s">
        <v>8820</v>
      </c>
    </row>
    <row r="27" spans="1:26">
      <c r="A27" s="2" t="s">
        <v>6545</v>
      </c>
      <c r="B27" t="s">
        <v>80</v>
      </c>
      <c r="G27" s="2">
        <v>2</v>
      </c>
      <c r="H27" t="s">
        <v>6182</v>
      </c>
      <c r="J27" s="1">
        <v>2</v>
      </c>
      <c r="K27" s="1" t="s">
        <v>54</v>
      </c>
      <c r="L27" s="1" t="s">
        <v>34</v>
      </c>
      <c r="N27" s="2" t="s">
        <v>6590</v>
      </c>
      <c r="O27" t="s">
        <v>6305</v>
      </c>
      <c r="V27">
        <f>1</f>
        <v>1</v>
      </c>
      <c r="Y27">
        <v>2</v>
      </c>
      <c r="Z27" t="s">
        <v>8821</v>
      </c>
    </row>
    <row r="28" spans="1:26">
      <c r="A28" s="2" t="s">
        <v>6122</v>
      </c>
      <c r="B28" t="s">
        <v>6307</v>
      </c>
      <c r="G28" s="2">
        <v>3</v>
      </c>
      <c r="H28" t="s">
        <v>6183</v>
      </c>
      <c r="J28" s="1">
        <v>3</v>
      </c>
      <c r="K28" s="1" t="s">
        <v>55</v>
      </c>
      <c r="L28" s="1" t="s">
        <v>35</v>
      </c>
      <c r="N28" s="2" t="s">
        <v>6561</v>
      </c>
      <c r="O28" t="s">
        <v>6309</v>
      </c>
      <c r="V28">
        <f>1+1</f>
        <v>2</v>
      </c>
      <c r="Y28">
        <v>3</v>
      </c>
      <c r="Z28" t="s">
        <v>8822</v>
      </c>
    </row>
    <row r="29" spans="1:26">
      <c r="A29" s="2">
        <v>10</v>
      </c>
      <c r="B29" t="s">
        <v>81</v>
      </c>
      <c r="G29" s="2">
        <v>4</v>
      </c>
      <c r="H29" t="s">
        <v>6184</v>
      </c>
      <c r="J29" s="1">
        <v>4</v>
      </c>
      <c r="K29" s="1" t="s">
        <v>56</v>
      </c>
      <c r="L29" s="1" t="s">
        <v>36</v>
      </c>
      <c r="N29" s="2">
        <v>8</v>
      </c>
      <c r="O29" t="s">
        <v>6314</v>
      </c>
      <c r="V29">
        <f>1+1+1+2+60</f>
        <v>65</v>
      </c>
      <c r="Y29">
        <v>1</v>
      </c>
      <c r="Z29" t="s">
        <v>8823</v>
      </c>
    </row>
    <row r="30" spans="1:26">
      <c r="A30" s="2">
        <v>11</v>
      </c>
      <c r="B30" t="s">
        <v>6159</v>
      </c>
      <c r="G30" s="2">
        <v>5</v>
      </c>
      <c r="H30" t="s">
        <v>6185</v>
      </c>
      <c r="J30" s="1">
        <v>5</v>
      </c>
      <c r="K30" s="1" t="s">
        <v>57</v>
      </c>
      <c r="L30" s="1" t="s">
        <v>37</v>
      </c>
      <c r="N30" s="2" t="s">
        <v>6591</v>
      </c>
      <c r="O30" t="s">
        <v>6310</v>
      </c>
      <c r="Y30">
        <v>1</v>
      </c>
      <c r="Z30" t="s">
        <v>6576</v>
      </c>
    </row>
    <row r="31" spans="1:26">
      <c r="A31" s="2">
        <v>12</v>
      </c>
      <c r="B31" t="s">
        <v>6155</v>
      </c>
      <c r="G31" s="2">
        <v>6</v>
      </c>
      <c r="H31" t="s">
        <v>6186</v>
      </c>
      <c r="J31" s="1">
        <v>6</v>
      </c>
      <c r="K31" s="1" t="s">
        <v>58</v>
      </c>
      <c r="L31" s="1" t="s">
        <v>38</v>
      </c>
      <c r="N31" s="2" t="s">
        <v>6161</v>
      </c>
      <c r="O31" t="s">
        <v>6318</v>
      </c>
      <c r="Y31">
        <v>2</v>
      </c>
      <c r="Z31" t="s">
        <v>6306</v>
      </c>
    </row>
    <row r="32" spans="1:26">
      <c r="A32" s="2">
        <v>13</v>
      </c>
      <c r="B32" t="s">
        <v>6319</v>
      </c>
      <c r="G32" s="2">
        <v>7</v>
      </c>
      <c r="H32" t="s">
        <v>6187</v>
      </c>
      <c r="J32" s="1">
        <v>7</v>
      </c>
      <c r="K32" s="1" t="s">
        <v>59</v>
      </c>
      <c r="L32" s="1" t="s">
        <v>39</v>
      </c>
      <c r="N32" s="2">
        <v>13</v>
      </c>
      <c r="O32" t="s">
        <v>6313</v>
      </c>
      <c r="Y32">
        <v>3</v>
      </c>
      <c r="Z32" t="s">
        <v>6579</v>
      </c>
    </row>
    <row r="33" spans="1:26">
      <c r="A33" s="2" t="s">
        <v>74</v>
      </c>
      <c r="B33" t="s">
        <v>6156</v>
      </c>
      <c r="G33" s="2">
        <v>8</v>
      </c>
      <c r="H33" t="s">
        <v>6188</v>
      </c>
      <c r="J33" s="1">
        <v>8</v>
      </c>
      <c r="K33" s="1" t="s">
        <v>60</v>
      </c>
      <c r="L33" s="1" t="s">
        <v>40</v>
      </c>
      <c r="N33" s="2" t="s">
        <v>6592</v>
      </c>
      <c r="O33" t="s">
        <v>6317</v>
      </c>
      <c r="V33">
        <v>3</v>
      </c>
      <c r="Y33">
        <v>1</v>
      </c>
      <c r="Z33" t="s">
        <v>6308</v>
      </c>
    </row>
    <row r="34" spans="1:26">
      <c r="A34" s="2" t="s">
        <v>75</v>
      </c>
      <c r="B34" t="s">
        <v>6157</v>
      </c>
      <c r="G34" s="2">
        <v>9</v>
      </c>
      <c r="H34" t="s">
        <v>6189</v>
      </c>
      <c r="J34" s="1">
        <v>9</v>
      </c>
      <c r="K34" s="1" t="s">
        <v>61</v>
      </c>
      <c r="L34" s="1" t="s">
        <v>41</v>
      </c>
      <c r="N34" s="2">
        <v>17</v>
      </c>
      <c r="O34" t="s">
        <v>6581</v>
      </c>
      <c r="V34">
        <f>1+1+5+3</f>
        <v>10</v>
      </c>
      <c r="Y34">
        <v>1</v>
      </c>
      <c r="Z34" t="s">
        <v>6179</v>
      </c>
    </row>
    <row r="35" spans="1:26">
      <c r="A35" s="2">
        <v>18</v>
      </c>
      <c r="B35" t="s">
        <v>78</v>
      </c>
      <c r="G35" s="2">
        <v>10</v>
      </c>
      <c r="H35" t="s">
        <v>6190</v>
      </c>
      <c r="J35" s="1">
        <v>10</v>
      </c>
      <c r="K35" s="1" t="s">
        <v>62</v>
      </c>
      <c r="L35" s="1" t="s">
        <v>42</v>
      </c>
      <c r="N35" s="2">
        <v>18</v>
      </c>
      <c r="O35" t="s">
        <v>6315</v>
      </c>
      <c r="V35">
        <f>1+2+1</f>
        <v>4</v>
      </c>
      <c r="Y35">
        <v>2</v>
      </c>
      <c r="Z35" t="s">
        <v>6180</v>
      </c>
    </row>
    <row r="36" spans="1:26">
      <c r="A36" s="2" t="s">
        <v>76</v>
      </c>
      <c r="B36" t="s">
        <v>77</v>
      </c>
      <c r="G36" s="2">
        <v>11</v>
      </c>
      <c r="H36" t="s">
        <v>6191</v>
      </c>
      <c r="J36" s="1">
        <v>11</v>
      </c>
      <c r="K36" s="1" t="s">
        <v>64</v>
      </c>
      <c r="L36" s="1" t="s">
        <v>43</v>
      </c>
      <c r="N36" s="2" t="s">
        <v>76</v>
      </c>
      <c r="O36" t="s">
        <v>6311</v>
      </c>
      <c r="V36">
        <v>2</v>
      </c>
      <c r="Y36">
        <v>1</v>
      </c>
      <c r="Z36" t="s">
        <v>6187</v>
      </c>
    </row>
    <row r="37" spans="1:26">
      <c r="G37" s="2">
        <v>12</v>
      </c>
      <c r="H37" t="s">
        <v>6192</v>
      </c>
      <c r="J37" s="1">
        <v>12</v>
      </c>
      <c r="K37" s="1" t="s">
        <v>65</v>
      </c>
      <c r="L37" s="1" t="s">
        <v>44</v>
      </c>
      <c r="V37">
        <v>4</v>
      </c>
      <c r="Y37">
        <v>2</v>
      </c>
      <c r="Z37" t="s">
        <v>6197</v>
      </c>
    </row>
    <row r="38" spans="1:26">
      <c r="A38" s="2" t="s">
        <v>6584</v>
      </c>
      <c r="G38" s="2">
        <v>13</v>
      </c>
      <c r="H38" t="s">
        <v>6193</v>
      </c>
      <c r="J38" s="1">
        <v>13</v>
      </c>
      <c r="K38" s="1" t="s">
        <v>66</v>
      </c>
      <c r="L38" s="1" t="s">
        <v>45</v>
      </c>
      <c r="N38" t="s">
        <v>6587</v>
      </c>
      <c r="Y38">
        <v>3</v>
      </c>
      <c r="Z38" t="s">
        <v>6190</v>
      </c>
    </row>
    <row r="39" spans="1:26">
      <c r="A39" s="2" t="s">
        <v>30</v>
      </c>
      <c r="B39" t="s">
        <v>6158</v>
      </c>
      <c r="G39" s="2">
        <v>14</v>
      </c>
      <c r="H39" t="s">
        <v>6194</v>
      </c>
      <c r="J39" s="1">
        <v>14</v>
      </c>
      <c r="K39" s="1" t="s">
        <v>67</v>
      </c>
      <c r="L39" s="1" t="s">
        <v>46</v>
      </c>
      <c r="N39" s="2" t="s">
        <v>30</v>
      </c>
      <c r="O39" t="s">
        <v>6158</v>
      </c>
    </row>
    <row r="40" spans="1:26">
      <c r="A40" s="2" t="s">
        <v>6540</v>
      </c>
      <c r="B40" t="s">
        <v>6582</v>
      </c>
      <c r="G40" s="2">
        <v>15</v>
      </c>
      <c r="H40" t="s">
        <v>6195</v>
      </c>
      <c r="J40" s="1">
        <v>15</v>
      </c>
      <c r="K40" s="1" t="s">
        <v>68</v>
      </c>
      <c r="L40" s="1" t="s">
        <v>47</v>
      </c>
      <c r="N40" s="2" t="s">
        <v>6168</v>
      </c>
      <c r="O40" t="s">
        <v>6576</v>
      </c>
    </row>
    <row r="41" spans="1:26">
      <c r="A41" s="2" t="s">
        <v>6589</v>
      </c>
      <c r="B41" t="s">
        <v>6583</v>
      </c>
      <c r="G41" s="2">
        <v>16</v>
      </c>
      <c r="H41" t="s">
        <v>6196</v>
      </c>
      <c r="J41" s="1">
        <v>16</v>
      </c>
      <c r="K41" s="1" t="s">
        <v>69</v>
      </c>
      <c r="L41" s="1" t="s">
        <v>48</v>
      </c>
      <c r="N41" s="2" t="s">
        <v>6594</v>
      </c>
      <c r="O41" t="s">
        <v>6577</v>
      </c>
    </row>
    <row r="42" spans="1:26">
      <c r="A42" s="2" t="s">
        <v>6588</v>
      </c>
      <c r="B42" t="s">
        <v>6585</v>
      </c>
      <c r="G42" s="2">
        <v>17</v>
      </c>
      <c r="H42" t="s">
        <v>6197</v>
      </c>
      <c r="J42" s="1">
        <v>17</v>
      </c>
      <c r="K42" s="1" t="s">
        <v>70</v>
      </c>
      <c r="L42" s="1" t="s">
        <v>49</v>
      </c>
      <c r="N42" s="2" t="s">
        <v>6591</v>
      </c>
      <c r="O42" t="s">
        <v>6578</v>
      </c>
    </row>
    <row r="43" spans="1:26">
      <c r="G43" s="2">
        <v>18</v>
      </c>
      <c r="H43" t="s">
        <v>6198</v>
      </c>
      <c r="J43" s="1">
        <v>18</v>
      </c>
      <c r="K43" s="1" t="s">
        <v>71</v>
      </c>
      <c r="L43" s="1" t="s">
        <v>50</v>
      </c>
      <c r="N43" s="2" t="s">
        <v>6171</v>
      </c>
      <c r="O43" t="s">
        <v>6579</v>
      </c>
    </row>
    <row r="44" spans="1:26">
      <c r="G44" s="2">
        <v>19</v>
      </c>
      <c r="H44" t="s">
        <v>6199</v>
      </c>
      <c r="J44" s="1">
        <v>19</v>
      </c>
      <c r="K44" s="1" t="s">
        <v>72</v>
      </c>
      <c r="L44" s="1" t="s">
        <v>51</v>
      </c>
      <c r="N44" s="2" t="s">
        <v>6593</v>
      </c>
      <c r="O44" t="s">
        <v>6599</v>
      </c>
    </row>
    <row r="45" spans="1:26">
      <c r="G45" s="2">
        <v>20</v>
      </c>
      <c r="H45" t="s">
        <v>6200</v>
      </c>
      <c r="J45" s="1">
        <v>20</v>
      </c>
      <c r="K45" s="1" t="s">
        <v>63</v>
      </c>
      <c r="L45" s="1" t="s">
        <v>52</v>
      </c>
      <c r="N45" s="2" t="s">
        <v>6080</v>
      </c>
      <c r="O45" t="s">
        <v>6575</v>
      </c>
    </row>
    <row r="46" spans="1:26">
      <c r="N46" s="2">
        <v>20</v>
      </c>
      <c r="O46" t="s">
        <v>6306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67DFD-923E-44A1-9961-165590B38E52}">
  <sheetPr codeName="Лист11">
    <tabColor rgb="FFFFFF00"/>
  </sheetPr>
  <dimension ref="A1:V74"/>
  <sheetViews>
    <sheetView topLeftCell="A4" zoomScale="85" zoomScaleNormal="85" workbookViewId="0">
      <selection activeCell="F57" sqref="F57"/>
    </sheetView>
  </sheetViews>
  <sheetFormatPr defaultRowHeight="15"/>
  <sheetData>
    <row r="1" spans="1:22">
      <c r="A1" t="s">
        <v>0</v>
      </c>
      <c r="H1" t="s">
        <v>4</v>
      </c>
      <c r="N1" t="s">
        <v>2</v>
      </c>
      <c r="U1" t="s">
        <v>3</v>
      </c>
    </row>
    <row r="2" spans="1:22">
      <c r="A2" s="2" t="s">
        <v>30</v>
      </c>
      <c r="B2" t="s">
        <v>6071</v>
      </c>
      <c r="H2" s="2" t="s">
        <v>6564</v>
      </c>
      <c r="I2" t="s">
        <v>6123</v>
      </c>
      <c r="N2" s="2" t="s">
        <v>30</v>
      </c>
      <c r="O2" t="s">
        <v>6092</v>
      </c>
      <c r="U2" s="2" t="s">
        <v>6559</v>
      </c>
      <c r="V2" t="s">
        <v>6113</v>
      </c>
    </row>
    <row r="3" spans="1:22">
      <c r="A3" s="2" t="s">
        <v>6068</v>
      </c>
      <c r="B3" t="s">
        <v>6072</v>
      </c>
      <c r="H3" s="2">
        <v>1</v>
      </c>
      <c r="I3" t="s">
        <v>6124</v>
      </c>
      <c r="N3" s="2">
        <v>1</v>
      </c>
      <c r="O3" t="s">
        <v>6093</v>
      </c>
      <c r="U3" s="2">
        <v>1</v>
      </c>
      <c r="V3" t="s">
        <v>6549</v>
      </c>
    </row>
    <row r="4" spans="1:22">
      <c r="A4" s="2" t="s">
        <v>6069</v>
      </c>
      <c r="B4" t="s">
        <v>6073</v>
      </c>
      <c r="H4" s="2">
        <v>2</v>
      </c>
      <c r="I4" t="s">
        <v>6125</v>
      </c>
      <c r="N4" s="2">
        <v>2</v>
      </c>
      <c r="O4" t="s">
        <v>6094</v>
      </c>
      <c r="U4" s="2">
        <v>2</v>
      </c>
      <c r="V4" t="s">
        <v>6548</v>
      </c>
    </row>
    <row r="5" spans="1:22">
      <c r="A5" s="2" t="s">
        <v>6070</v>
      </c>
      <c r="B5" t="s">
        <v>6074</v>
      </c>
      <c r="H5" s="2">
        <v>3</v>
      </c>
      <c r="I5" t="s">
        <v>6126</v>
      </c>
      <c r="N5" s="2">
        <v>3</v>
      </c>
      <c r="O5" t="s">
        <v>6095</v>
      </c>
      <c r="U5" s="2">
        <v>3</v>
      </c>
      <c r="V5" t="s">
        <v>6550</v>
      </c>
    </row>
    <row r="6" spans="1:22">
      <c r="A6" s="2">
        <v>17</v>
      </c>
      <c r="B6" t="s">
        <v>6075</v>
      </c>
      <c r="H6" s="2">
        <v>4</v>
      </c>
      <c r="I6" t="s">
        <v>6127</v>
      </c>
      <c r="N6" s="2">
        <v>4</v>
      </c>
      <c r="O6" t="s">
        <v>6096</v>
      </c>
      <c r="U6" s="2">
        <v>4</v>
      </c>
      <c r="V6" t="s">
        <v>6551</v>
      </c>
    </row>
    <row r="7" spans="1:22">
      <c r="A7" s="2">
        <v>18</v>
      </c>
      <c r="B7" t="s">
        <v>6076</v>
      </c>
      <c r="H7" s="2">
        <v>5</v>
      </c>
      <c r="I7" t="s">
        <v>6562</v>
      </c>
      <c r="N7" s="2">
        <v>5</v>
      </c>
      <c r="O7" t="s">
        <v>6097</v>
      </c>
      <c r="U7" s="2">
        <v>5</v>
      </c>
      <c r="V7" t="s">
        <v>6115</v>
      </c>
    </row>
    <row r="8" spans="1:22">
      <c r="A8" s="2">
        <v>19</v>
      </c>
      <c r="B8" t="s">
        <v>6077</v>
      </c>
      <c r="H8" s="2">
        <v>6</v>
      </c>
      <c r="I8" t="s">
        <v>6563</v>
      </c>
      <c r="N8" s="2">
        <v>6</v>
      </c>
      <c r="O8" t="s">
        <v>6098</v>
      </c>
      <c r="U8" s="2">
        <v>6</v>
      </c>
      <c r="V8" t="s">
        <v>6552</v>
      </c>
    </row>
    <row r="9" spans="1:22">
      <c r="A9" s="2">
        <v>20</v>
      </c>
      <c r="B9" t="s">
        <v>6078</v>
      </c>
      <c r="H9" s="2">
        <v>7</v>
      </c>
      <c r="I9" t="s">
        <v>6128</v>
      </c>
      <c r="N9" s="2">
        <v>7</v>
      </c>
      <c r="O9" t="s">
        <v>6099</v>
      </c>
      <c r="U9" s="2">
        <v>7</v>
      </c>
      <c r="V9" t="s">
        <v>6553</v>
      </c>
    </row>
    <row r="10" spans="1:22">
      <c r="A10" s="2"/>
      <c r="H10" s="2">
        <v>8</v>
      </c>
      <c r="I10" t="s">
        <v>6129</v>
      </c>
      <c r="N10" s="2">
        <v>8</v>
      </c>
      <c r="O10" t="s">
        <v>6100</v>
      </c>
      <c r="U10" s="2">
        <v>8</v>
      </c>
      <c r="V10" t="s">
        <v>6554</v>
      </c>
    </row>
    <row r="11" spans="1:22">
      <c r="A11" t="s">
        <v>1</v>
      </c>
      <c r="H11" s="2">
        <v>9</v>
      </c>
      <c r="I11" t="s">
        <v>6130</v>
      </c>
      <c r="N11" s="2">
        <v>9</v>
      </c>
      <c r="O11" t="s">
        <v>6101</v>
      </c>
      <c r="U11" s="2">
        <v>9</v>
      </c>
      <c r="V11" t="s">
        <v>6118</v>
      </c>
    </row>
    <row r="12" spans="1:22">
      <c r="A12" s="2" t="s">
        <v>30</v>
      </c>
      <c r="B12" t="s">
        <v>6079</v>
      </c>
      <c r="H12" s="2">
        <v>10</v>
      </c>
      <c r="I12" t="s">
        <v>6131</v>
      </c>
      <c r="N12" s="2">
        <v>10</v>
      </c>
      <c r="O12" t="s">
        <v>6102</v>
      </c>
      <c r="U12" s="2">
        <v>10</v>
      </c>
      <c r="V12" t="s">
        <v>6120</v>
      </c>
    </row>
    <row r="13" spans="1:22">
      <c r="A13" s="2">
        <v>1</v>
      </c>
      <c r="B13" t="s">
        <v>6238</v>
      </c>
      <c r="H13" s="2">
        <v>11</v>
      </c>
      <c r="I13" t="s">
        <v>6132</v>
      </c>
      <c r="N13" s="2">
        <v>11</v>
      </c>
      <c r="O13" t="s">
        <v>6103</v>
      </c>
      <c r="U13" s="2">
        <v>11</v>
      </c>
      <c r="V13" t="s">
        <v>6555</v>
      </c>
    </row>
    <row r="14" spans="1:22">
      <c r="A14" s="2" t="s">
        <v>6542</v>
      </c>
      <c r="B14" t="s">
        <v>6239</v>
      </c>
      <c r="H14" s="2">
        <v>12</v>
      </c>
      <c r="I14" t="s">
        <v>6133</v>
      </c>
      <c r="N14" s="2">
        <v>12</v>
      </c>
      <c r="O14" t="s">
        <v>6104</v>
      </c>
      <c r="U14" s="2">
        <v>12</v>
      </c>
      <c r="V14" t="s">
        <v>6556</v>
      </c>
    </row>
    <row r="15" spans="1:22">
      <c r="A15" s="2" t="s">
        <v>6544</v>
      </c>
      <c r="B15" t="s">
        <v>6240</v>
      </c>
      <c r="H15" s="2">
        <v>13</v>
      </c>
      <c r="I15" t="s">
        <v>6134</v>
      </c>
      <c r="N15" s="2">
        <v>13</v>
      </c>
      <c r="O15" t="s">
        <v>6105</v>
      </c>
      <c r="U15" s="2">
        <v>13</v>
      </c>
      <c r="V15" t="s">
        <v>6557</v>
      </c>
    </row>
    <row r="16" spans="1:22">
      <c r="A16" s="2" t="s">
        <v>6545</v>
      </c>
      <c r="B16" t="s">
        <v>6241</v>
      </c>
      <c r="H16" s="2">
        <v>14</v>
      </c>
      <c r="I16" t="s">
        <v>6135</v>
      </c>
      <c r="N16" s="2">
        <v>14</v>
      </c>
      <c r="O16" t="s">
        <v>6106</v>
      </c>
      <c r="U16" s="2">
        <v>14</v>
      </c>
      <c r="V16" t="s">
        <v>6114</v>
      </c>
    </row>
    <row r="17" spans="1:22">
      <c r="A17" s="2">
        <v>8</v>
      </c>
      <c r="B17" t="s">
        <v>6081</v>
      </c>
      <c r="H17" s="2">
        <v>15</v>
      </c>
      <c r="I17" t="s">
        <v>6136</v>
      </c>
      <c r="N17" s="2">
        <v>15</v>
      </c>
      <c r="O17" t="s">
        <v>6107</v>
      </c>
      <c r="U17" s="2">
        <v>15</v>
      </c>
      <c r="V17" t="s">
        <v>6547</v>
      </c>
    </row>
    <row r="18" spans="1:22">
      <c r="A18" s="2">
        <v>9</v>
      </c>
      <c r="B18" t="s">
        <v>6082</v>
      </c>
      <c r="H18" s="2">
        <v>16</v>
      </c>
      <c r="I18" t="s">
        <v>6137</v>
      </c>
      <c r="N18" s="2">
        <v>16</v>
      </c>
      <c r="O18" t="s">
        <v>6108</v>
      </c>
      <c r="U18" s="2">
        <v>16</v>
      </c>
      <c r="V18" t="s">
        <v>6546</v>
      </c>
    </row>
    <row r="19" spans="1:22">
      <c r="A19" s="2">
        <v>10</v>
      </c>
      <c r="B19" t="s">
        <v>6083</v>
      </c>
      <c r="H19" s="2">
        <v>17</v>
      </c>
      <c r="I19" t="s">
        <v>6138</v>
      </c>
      <c r="N19" s="2">
        <v>17</v>
      </c>
      <c r="O19" t="s">
        <v>6109</v>
      </c>
      <c r="U19" s="2">
        <v>17</v>
      </c>
      <c r="V19" t="s">
        <v>6116</v>
      </c>
    </row>
    <row r="20" spans="1:22">
      <c r="A20" s="2">
        <v>11</v>
      </c>
      <c r="B20" t="s">
        <v>6084</v>
      </c>
      <c r="H20" s="2">
        <v>18</v>
      </c>
      <c r="I20" t="s">
        <v>6139</v>
      </c>
      <c r="N20" s="2">
        <v>18</v>
      </c>
      <c r="O20" t="s">
        <v>6110</v>
      </c>
      <c r="U20" s="2">
        <v>18</v>
      </c>
      <c r="V20" t="s">
        <v>6558</v>
      </c>
    </row>
    <row r="21" spans="1:22">
      <c r="A21" s="2">
        <v>12</v>
      </c>
      <c r="B21" t="s">
        <v>6085</v>
      </c>
      <c r="H21" s="2">
        <v>19</v>
      </c>
      <c r="I21" t="s">
        <v>6560</v>
      </c>
      <c r="N21" s="2">
        <v>19</v>
      </c>
      <c r="O21" t="s">
        <v>6111</v>
      </c>
      <c r="U21" s="2">
        <v>19</v>
      </c>
      <c r="V21" t="s">
        <v>6117</v>
      </c>
    </row>
    <row r="22" spans="1:22">
      <c r="A22" s="2">
        <v>13</v>
      </c>
      <c r="B22" t="s">
        <v>6086</v>
      </c>
      <c r="H22" s="2">
        <v>20</v>
      </c>
      <c r="I22" t="s">
        <v>6248</v>
      </c>
      <c r="N22" s="2">
        <v>20</v>
      </c>
      <c r="O22" t="s">
        <v>6112</v>
      </c>
      <c r="U22" s="2">
        <v>20</v>
      </c>
      <c r="V22" t="s">
        <v>6119</v>
      </c>
    </row>
    <row r="23" spans="1:22">
      <c r="A23" s="2">
        <v>14</v>
      </c>
      <c r="B23" t="s">
        <v>6087</v>
      </c>
      <c r="H23" s="2">
        <v>21</v>
      </c>
      <c r="I23" t="s">
        <v>6247</v>
      </c>
      <c r="N23" s="2"/>
      <c r="U23" s="2">
        <v>21</v>
      </c>
      <c r="V23" t="s">
        <v>6226</v>
      </c>
    </row>
    <row r="24" spans="1:22">
      <c r="A24" s="2">
        <v>15</v>
      </c>
      <c r="B24" t="s">
        <v>6088</v>
      </c>
      <c r="H24" s="2">
        <v>22</v>
      </c>
      <c r="I24" t="s">
        <v>6249</v>
      </c>
      <c r="U24" s="2">
        <v>22</v>
      </c>
      <c r="V24" t="s">
        <v>6227</v>
      </c>
    </row>
    <row r="25" spans="1:22">
      <c r="A25" s="2">
        <v>16</v>
      </c>
      <c r="B25" t="s">
        <v>6089</v>
      </c>
      <c r="H25" s="2">
        <v>23</v>
      </c>
      <c r="I25" t="s">
        <v>6244</v>
      </c>
      <c r="U25" s="2">
        <v>23</v>
      </c>
      <c r="V25" t="s">
        <v>6228</v>
      </c>
    </row>
    <row r="26" spans="1:22">
      <c r="A26" s="2">
        <v>17</v>
      </c>
      <c r="B26" t="s">
        <v>6242</v>
      </c>
      <c r="H26" s="2">
        <v>24</v>
      </c>
      <c r="I26" t="s">
        <v>6245</v>
      </c>
      <c r="U26" s="2">
        <v>24</v>
      </c>
      <c r="V26" t="s">
        <v>6229</v>
      </c>
    </row>
    <row r="27" spans="1:22">
      <c r="A27" s="2">
        <v>18</v>
      </c>
      <c r="B27" t="s">
        <v>6243</v>
      </c>
      <c r="H27" s="2">
        <v>25</v>
      </c>
      <c r="I27" t="s">
        <v>6246</v>
      </c>
      <c r="U27" s="2">
        <v>25</v>
      </c>
      <c r="V27" t="s">
        <v>6230</v>
      </c>
    </row>
    <row r="28" spans="1:22">
      <c r="A28" s="2">
        <v>19</v>
      </c>
      <c r="B28" t="s">
        <v>6090</v>
      </c>
      <c r="H28" s="2">
        <v>26</v>
      </c>
      <c r="I28" t="s">
        <v>6250</v>
      </c>
      <c r="U28" s="2">
        <v>26</v>
      </c>
      <c r="V28" t="s">
        <v>6231</v>
      </c>
    </row>
    <row r="29" spans="1:22">
      <c r="A29" s="2">
        <v>20</v>
      </c>
      <c r="B29" t="s">
        <v>6091</v>
      </c>
      <c r="U29" s="2">
        <v>27</v>
      </c>
      <c r="V29" t="s">
        <v>6232</v>
      </c>
    </row>
    <row r="30" spans="1:22">
      <c r="U30" s="2">
        <v>28</v>
      </c>
      <c r="V30" t="s">
        <v>6233</v>
      </c>
    </row>
    <row r="31" spans="1:22">
      <c r="U31" s="2">
        <v>29</v>
      </c>
      <c r="V31" t="s">
        <v>6234</v>
      </c>
    </row>
    <row r="32" spans="1:22">
      <c r="U32" s="2">
        <v>30</v>
      </c>
      <c r="V32" t="s">
        <v>6235</v>
      </c>
    </row>
    <row r="33" spans="17:22">
      <c r="U33" s="2">
        <v>31</v>
      </c>
      <c r="V33" t="s">
        <v>6236</v>
      </c>
    </row>
    <row r="34" spans="17:22">
      <c r="U34" s="2">
        <v>32</v>
      </c>
      <c r="V34" t="s">
        <v>6237</v>
      </c>
    </row>
    <row r="43" spans="17:22">
      <c r="T43" s="5"/>
    </row>
    <row r="44" spans="17:22">
      <c r="T44" s="5"/>
    </row>
    <row r="45" spans="17:22">
      <c r="Q45" s="3"/>
      <c r="T45" s="5"/>
    </row>
    <row r="46" spans="17:22">
      <c r="Q46" s="5"/>
      <c r="T46" s="5"/>
    </row>
    <row r="47" spans="17:22">
      <c r="Q47" s="5"/>
      <c r="T47" s="5"/>
    </row>
    <row r="48" spans="17:22">
      <c r="Q48" s="5"/>
      <c r="T48" s="5"/>
    </row>
    <row r="49" spans="1:21">
      <c r="Q49" s="5"/>
      <c r="T49" s="5"/>
    </row>
    <row r="50" spans="1:21">
      <c r="Q50" s="5"/>
    </row>
    <row r="51" spans="1:21">
      <c r="Q51" s="5"/>
    </row>
    <row r="52" spans="1:21">
      <c r="Q52" s="5"/>
    </row>
    <row r="53" spans="1:21">
      <c r="A53" s="8" t="s">
        <v>6570</v>
      </c>
      <c r="G53" s="8" t="s">
        <v>6568</v>
      </c>
      <c r="N53" s="8" t="s">
        <v>6566</v>
      </c>
      <c r="T53" s="8" t="s">
        <v>6571</v>
      </c>
    </row>
    <row r="54" spans="1:21">
      <c r="A54" s="9" t="s">
        <v>6569</v>
      </c>
      <c r="G54" s="9" t="s">
        <v>6567</v>
      </c>
      <c r="N54" s="9" t="s">
        <v>6565</v>
      </c>
      <c r="T54" s="9" t="s">
        <v>6565</v>
      </c>
    </row>
    <row r="55" spans="1:21">
      <c r="A55" s="10">
        <v>1</v>
      </c>
      <c r="B55" t="s">
        <v>6263</v>
      </c>
      <c r="G55" s="10">
        <v>1</v>
      </c>
      <c r="H55" t="s">
        <v>6285</v>
      </c>
      <c r="N55" s="10">
        <v>1</v>
      </c>
      <c r="O55" t="s">
        <v>6251</v>
      </c>
      <c r="T55" s="10">
        <v>1</v>
      </c>
      <c r="U55" t="s">
        <v>6273</v>
      </c>
    </row>
    <row r="56" spans="1:21">
      <c r="A56" s="10">
        <v>2</v>
      </c>
      <c r="B56" t="s">
        <v>6264</v>
      </c>
      <c r="G56" s="10">
        <v>2</v>
      </c>
      <c r="H56" t="s">
        <v>6286</v>
      </c>
      <c r="N56" s="10">
        <v>2</v>
      </c>
      <c r="O56" t="s">
        <v>6252</v>
      </c>
      <c r="T56" s="10">
        <v>2</v>
      </c>
      <c r="U56" t="s">
        <v>6274</v>
      </c>
    </row>
    <row r="57" spans="1:21">
      <c r="A57" s="10">
        <v>3</v>
      </c>
      <c r="B57" t="s">
        <v>6265</v>
      </c>
      <c r="G57" s="10">
        <v>3</v>
      </c>
      <c r="H57" t="s">
        <v>6287</v>
      </c>
      <c r="N57" s="10">
        <v>3</v>
      </c>
      <c r="O57" t="s">
        <v>6253</v>
      </c>
      <c r="T57" s="10">
        <v>3</v>
      </c>
      <c r="U57" t="s">
        <v>6275</v>
      </c>
    </row>
    <row r="58" spans="1:21">
      <c r="A58" s="10">
        <v>4</v>
      </c>
      <c r="B58" t="s">
        <v>6266</v>
      </c>
      <c r="G58" s="10">
        <v>4</v>
      </c>
      <c r="H58" t="s">
        <v>6288</v>
      </c>
      <c r="N58" s="10">
        <v>4</v>
      </c>
      <c r="O58" t="s">
        <v>6254</v>
      </c>
      <c r="T58" s="10">
        <v>4</v>
      </c>
      <c r="U58" t="s">
        <v>6276</v>
      </c>
    </row>
    <row r="59" spans="1:21">
      <c r="A59" s="10">
        <v>5</v>
      </c>
      <c r="B59" t="s">
        <v>6267</v>
      </c>
      <c r="G59" s="10">
        <v>5</v>
      </c>
      <c r="H59" t="s">
        <v>6289</v>
      </c>
      <c r="N59" s="10">
        <v>5</v>
      </c>
      <c r="O59" t="s">
        <v>6255</v>
      </c>
      <c r="T59" s="10">
        <v>5</v>
      </c>
      <c r="U59" t="s">
        <v>6277</v>
      </c>
    </row>
    <row r="60" spans="1:21">
      <c r="A60" s="10">
        <v>6</v>
      </c>
      <c r="B60" t="s">
        <v>6268</v>
      </c>
      <c r="G60" s="10">
        <v>6</v>
      </c>
      <c r="H60" t="s">
        <v>6290</v>
      </c>
      <c r="N60" s="10">
        <v>6</v>
      </c>
      <c r="O60" t="s">
        <v>6256</v>
      </c>
      <c r="T60" s="10">
        <v>6</v>
      </c>
      <c r="U60" t="s">
        <v>6278</v>
      </c>
    </row>
    <row r="61" spans="1:21">
      <c r="A61" s="10">
        <v>7</v>
      </c>
      <c r="B61" t="s">
        <v>6269</v>
      </c>
      <c r="G61" s="10">
        <v>7</v>
      </c>
      <c r="H61" t="s">
        <v>6291</v>
      </c>
      <c r="N61" s="10">
        <v>7</v>
      </c>
      <c r="O61" t="s">
        <v>6257</v>
      </c>
      <c r="T61" s="10">
        <v>7</v>
      </c>
      <c r="U61" t="s">
        <v>6279</v>
      </c>
    </row>
    <row r="62" spans="1:21">
      <c r="A62" s="10">
        <v>8</v>
      </c>
      <c r="B62" t="s">
        <v>6270</v>
      </c>
      <c r="G62" s="10">
        <v>8</v>
      </c>
      <c r="H62" t="s">
        <v>6292</v>
      </c>
      <c r="N62" s="10">
        <v>8</v>
      </c>
      <c r="O62" t="s">
        <v>6258</v>
      </c>
      <c r="T62" s="10">
        <v>8</v>
      </c>
      <c r="U62" t="s">
        <v>6280</v>
      </c>
    </row>
    <row r="63" spans="1:21">
      <c r="A63" s="10">
        <v>9</v>
      </c>
      <c r="B63" t="s">
        <v>6271</v>
      </c>
      <c r="G63" s="10">
        <v>9</v>
      </c>
      <c r="H63" t="s">
        <v>6293</v>
      </c>
      <c r="N63" s="10">
        <v>9</v>
      </c>
      <c r="O63" t="s">
        <v>6259</v>
      </c>
      <c r="T63" s="10">
        <v>9</v>
      </c>
      <c r="U63" t="s">
        <v>6281</v>
      </c>
    </row>
    <row r="64" spans="1:21">
      <c r="A64" s="10">
        <v>10</v>
      </c>
      <c r="B64" t="s">
        <v>6272</v>
      </c>
      <c r="G64" s="10">
        <v>10</v>
      </c>
      <c r="H64" t="s">
        <v>6294</v>
      </c>
      <c r="N64" s="10">
        <v>10</v>
      </c>
      <c r="O64" t="s">
        <v>6260</v>
      </c>
      <c r="T64" s="10">
        <v>10</v>
      </c>
      <c r="U64" t="s">
        <v>6282</v>
      </c>
    </row>
    <row r="65" spans="1:21">
      <c r="A65" s="5"/>
      <c r="G65" s="10">
        <v>11</v>
      </c>
      <c r="H65" t="s">
        <v>6295</v>
      </c>
      <c r="N65" s="10">
        <v>11</v>
      </c>
      <c r="O65" t="s">
        <v>6261</v>
      </c>
      <c r="T65" s="10">
        <v>11</v>
      </c>
      <c r="U65" t="s">
        <v>6283</v>
      </c>
    </row>
    <row r="66" spans="1:21">
      <c r="G66" s="10">
        <v>12</v>
      </c>
      <c r="H66" t="s">
        <v>6296</v>
      </c>
      <c r="N66" s="10">
        <v>12</v>
      </c>
      <c r="O66" t="s">
        <v>6262</v>
      </c>
      <c r="T66" s="10">
        <v>12</v>
      </c>
      <c r="U66" t="s">
        <v>6284</v>
      </c>
    </row>
    <row r="67" spans="1:21">
      <c r="G67" s="10">
        <v>13</v>
      </c>
      <c r="H67" t="s">
        <v>6297</v>
      </c>
    </row>
    <row r="68" spans="1:21">
      <c r="G68" s="10">
        <v>14</v>
      </c>
      <c r="H68" t="s">
        <v>6298</v>
      </c>
    </row>
    <row r="69" spans="1:21">
      <c r="G69" s="10">
        <v>15</v>
      </c>
      <c r="H69" t="s">
        <v>6299</v>
      </c>
    </row>
    <row r="70" spans="1:21">
      <c r="G70" s="10">
        <v>16</v>
      </c>
      <c r="H70" t="s">
        <v>6300</v>
      </c>
    </row>
    <row r="71" spans="1:21">
      <c r="G71" s="10">
        <v>17</v>
      </c>
      <c r="H71" t="s">
        <v>6301</v>
      </c>
    </row>
    <row r="72" spans="1:21">
      <c r="G72" s="10">
        <v>18</v>
      </c>
      <c r="H72" t="s">
        <v>6302</v>
      </c>
    </row>
    <row r="73" spans="1:21">
      <c r="G73" s="10">
        <v>19</v>
      </c>
      <c r="H73" t="s">
        <v>6303</v>
      </c>
    </row>
    <row r="74" spans="1:21">
      <c r="G74" s="10">
        <v>20</v>
      </c>
      <c r="H74" t="s">
        <v>6304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45513-3F0C-40E0-ACC3-FFB8F96ECA81}">
  <sheetPr codeName="Лист4">
    <tabColor rgb="FFFFFF00"/>
  </sheetPr>
  <dimension ref="A1:AD88"/>
  <sheetViews>
    <sheetView zoomScale="60" zoomScaleNormal="60" workbookViewId="0">
      <selection activeCell="I22" sqref="I22"/>
    </sheetView>
  </sheetViews>
  <sheetFormatPr defaultColWidth="9" defaultRowHeight="15"/>
  <cols>
    <col min="1" max="16384" width="9" style="6"/>
  </cols>
  <sheetData>
    <row r="1" spans="1:30">
      <c r="A1" s="3" t="s">
        <v>3460</v>
      </c>
      <c r="P1" s="3" t="s">
        <v>3481</v>
      </c>
      <c r="AD1" s="3" t="s">
        <v>3542</v>
      </c>
    </row>
    <row r="2" spans="1:30">
      <c r="A2" s="5" t="s">
        <v>3461</v>
      </c>
      <c r="P2" s="5" t="s">
        <v>3482</v>
      </c>
      <c r="AD2" s="11" t="s">
        <v>3543</v>
      </c>
    </row>
    <row r="3" spans="1:30">
      <c r="A3" s="5" t="s">
        <v>3462</v>
      </c>
      <c r="P3" s="5" t="s">
        <v>3483</v>
      </c>
      <c r="AD3" s="11" t="s">
        <v>3544</v>
      </c>
    </row>
    <row r="4" spans="1:30">
      <c r="A4" s="5" t="s">
        <v>3463</v>
      </c>
      <c r="P4" s="5" t="s">
        <v>3484</v>
      </c>
      <c r="AD4" s="11" t="s">
        <v>3545</v>
      </c>
    </row>
    <row r="5" spans="1:30">
      <c r="A5" s="5" t="s">
        <v>3464</v>
      </c>
      <c r="P5" s="5" t="s">
        <v>3485</v>
      </c>
      <c r="AD5" s="11" t="s">
        <v>3546</v>
      </c>
    </row>
    <row r="6" spans="1:30">
      <c r="A6" s="5" t="s">
        <v>3465</v>
      </c>
      <c r="P6" s="5" t="s">
        <v>3486</v>
      </c>
      <c r="AD6" s="11" t="s">
        <v>3547</v>
      </c>
    </row>
    <row r="7" spans="1:30">
      <c r="A7" s="5" t="s">
        <v>3466</v>
      </c>
      <c r="P7" s="5" t="s">
        <v>3487</v>
      </c>
      <c r="AD7" s="11" t="s">
        <v>3548</v>
      </c>
    </row>
    <row r="8" spans="1:30">
      <c r="A8" s="5" t="s">
        <v>3467</v>
      </c>
      <c r="P8" s="5" t="s">
        <v>3488</v>
      </c>
      <c r="AD8" s="11" t="s">
        <v>3549</v>
      </c>
    </row>
    <row r="9" spans="1:30">
      <c r="A9" s="5" t="s">
        <v>3468</v>
      </c>
      <c r="P9" s="5" t="s">
        <v>3489</v>
      </c>
      <c r="AD9" s="11" t="s">
        <v>3550</v>
      </c>
    </row>
    <row r="10" spans="1:30">
      <c r="A10" s="5" t="s">
        <v>3469</v>
      </c>
      <c r="P10" s="5" t="s">
        <v>3490</v>
      </c>
      <c r="AD10" s="11" t="s">
        <v>3551</v>
      </c>
    </row>
    <row r="11" spans="1:30">
      <c r="A11" s="5" t="s">
        <v>3470</v>
      </c>
      <c r="P11" s="5" t="s">
        <v>3491</v>
      </c>
      <c r="AD11" s="11" t="s">
        <v>3552</v>
      </c>
    </row>
    <row r="12" spans="1:30">
      <c r="A12" s="5" t="s">
        <v>3471</v>
      </c>
      <c r="P12" s="5" t="s">
        <v>3492</v>
      </c>
      <c r="AD12" s="11" t="s">
        <v>3553</v>
      </c>
    </row>
    <row r="13" spans="1:30">
      <c r="A13" s="5" t="s">
        <v>3472</v>
      </c>
      <c r="P13" s="5" t="s">
        <v>3493</v>
      </c>
      <c r="AD13" s="11" t="s">
        <v>3554</v>
      </c>
    </row>
    <row r="14" spans="1:30">
      <c r="A14" s="5" t="s">
        <v>3473</v>
      </c>
      <c r="AD14" s="11" t="s">
        <v>3555</v>
      </c>
    </row>
    <row r="15" spans="1:30">
      <c r="A15" s="5" t="s">
        <v>3474</v>
      </c>
      <c r="P15" s="3" t="s">
        <v>6600</v>
      </c>
      <c r="AD15" s="11" t="s">
        <v>3556</v>
      </c>
    </row>
    <row r="16" spans="1:30">
      <c r="A16" s="5" t="s">
        <v>3475</v>
      </c>
      <c r="P16" s="5" t="s">
        <v>3515</v>
      </c>
      <c r="AD16" s="11" t="s">
        <v>3557</v>
      </c>
    </row>
    <row r="17" spans="1:30">
      <c r="A17" s="5" t="s">
        <v>3476</v>
      </c>
      <c r="P17" s="5" t="s">
        <v>3516</v>
      </c>
      <c r="AD17" s="11" t="s">
        <v>3558</v>
      </c>
    </row>
    <row r="18" spans="1:30">
      <c r="A18" s="5" t="s">
        <v>3477</v>
      </c>
      <c r="P18" s="5" t="s">
        <v>3517</v>
      </c>
      <c r="AD18" s="11" t="s">
        <v>3559</v>
      </c>
    </row>
    <row r="19" spans="1:30">
      <c r="A19" s="5" t="s">
        <v>3478</v>
      </c>
      <c r="P19" s="5" t="s">
        <v>3518</v>
      </c>
      <c r="AD19" s="11" t="s">
        <v>3560</v>
      </c>
    </row>
    <row r="20" spans="1:30">
      <c r="A20" s="5" t="s">
        <v>3479</v>
      </c>
      <c r="P20" s="5" t="s">
        <v>3519</v>
      </c>
      <c r="AD20" s="11" t="s">
        <v>3561</v>
      </c>
    </row>
    <row r="21" spans="1:30">
      <c r="A21" s="5" t="s">
        <v>3480</v>
      </c>
      <c r="P21" s="5" t="s">
        <v>3520</v>
      </c>
      <c r="AD21" s="11" t="s">
        <v>3562</v>
      </c>
    </row>
    <row r="22" spans="1:30">
      <c r="A22" s="5"/>
      <c r="AD22" s="11" t="s">
        <v>3563</v>
      </c>
    </row>
    <row r="23" spans="1:30">
      <c r="A23" s="3" t="s">
        <v>3494</v>
      </c>
      <c r="P23" s="3" t="s">
        <v>3521</v>
      </c>
      <c r="AD23" s="11" t="s">
        <v>3564</v>
      </c>
    </row>
    <row r="24" spans="1:30">
      <c r="A24" s="5" t="s">
        <v>3495</v>
      </c>
      <c r="P24" s="5" t="s">
        <v>3522</v>
      </c>
      <c r="AD24" s="11" t="s">
        <v>3565</v>
      </c>
    </row>
    <row r="25" spans="1:30">
      <c r="A25" s="5" t="s">
        <v>3496</v>
      </c>
      <c r="P25" s="5" t="s">
        <v>3523</v>
      </c>
      <c r="AD25" s="11" t="s">
        <v>3566</v>
      </c>
    </row>
    <row r="26" spans="1:30">
      <c r="A26" s="5" t="s">
        <v>3497</v>
      </c>
      <c r="P26" s="5" t="s">
        <v>3524</v>
      </c>
      <c r="AD26" s="11" t="s">
        <v>3567</v>
      </c>
    </row>
    <row r="27" spans="1:30">
      <c r="A27" s="5" t="s">
        <v>3498</v>
      </c>
      <c r="P27" s="5" t="s">
        <v>3525</v>
      </c>
      <c r="AD27" s="11" t="s">
        <v>3568</v>
      </c>
    </row>
    <row r="28" spans="1:30">
      <c r="A28" s="5" t="s">
        <v>3499</v>
      </c>
      <c r="P28" s="5" t="s">
        <v>3526</v>
      </c>
      <c r="AD28" s="11" t="s">
        <v>3569</v>
      </c>
    </row>
    <row r="29" spans="1:30">
      <c r="A29" s="5" t="s">
        <v>3500</v>
      </c>
      <c r="P29" s="5" t="s">
        <v>3527</v>
      </c>
      <c r="AD29" s="11" t="s">
        <v>3570</v>
      </c>
    </row>
    <row r="30" spans="1:30">
      <c r="A30" s="5" t="s">
        <v>3501</v>
      </c>
      <c r="P30" s="5" t="s">
        <v>3528</v>
      </c>
      <c r="AD30" s="11" t="s">
        <v>3571</v>
      </c>
    </row>
    <row r="31" spans="1:30">
      <c r="A31" s="5" t="s">
        <v>3502</v>
      </c>
      <c r="P31" s="5" t="s">
        <v>3529</v>
      </c>
      <c r="AD31" s="11" t="s">
        <v>3572</v>
      </c>
    </row>
    <row r="32" spans="1:30">
      <c r="A32" s="5" t="s">
        <v>3503</v>
      </c>
      <c r="P32" s="5" t="s">
        <v>3530</v>
      </c>
      <c r="AD32" s="11" t="s">
        <v>3573</v>
      </c>
    </row>
    <row r="33" spans="1:30">
      <c r="A33" s="5" t="s">
        <v>3504</v>
      </c>
      <c r="P33" s="5" t="s">
        <v>3531</v>
      </c>
      <c r="AD33" s="11" t="s">
        <v>3574</v>
      </c>
    </row>
    <row r="34" spans="1:30">
      <c r="A34" s="5" t="s">
        <v>3505</v>
      </c>
      <c r="P34" s="5" t="s">
        <v>3532</v>
      </c>
      <c r="AD34" s="11" t="s">
        <v>3575</v>
      </c>
    </row>
    <row r="35" spans="1:30">
      <c r="A35" s="5" t="s">
        <v>3506</v>
      </c>
      <c r="P35" s="5" t="s">
        <v>3533</v>
      </c>
      <c r="AD35" s="11" t="s">
        <v>3576</v>
      </c>
    </row>
    <row r="36" spans="1:30">
      <c r="A36" s="5" t="s">
        <v>3507</v>
      </c>
      <c r="P36" s="5" t="s">
        <v>3534</v>
      </c>
      <c r="AD36" s="11" t="s">
        <v>3577</v>
      </c>
    </row>
    <row r="37" spans="1:30">
      <c r="A37" s="5" t="s">
        <v>3508</v>
      </c>
      <c r="P37" s="5" t="s">
        <v>3535</v>
      </c>
      <c r="AD37" s="11" t="s">
        <v>3578</v>
      </c>
    </row>
    <row r="38" spans="1:30">
      <c r="A38" s="5" t="s">
        <v>3509</v>
      </c>
      <c r="P38" s="5" t="s">
        <v>3536</v>
      </c>
      <c r="AD38" s="11" t="s">
        <v>3579</v>
      </c>
    </row>
    <row r="39" spans="1:30">
      <c r="A39" s="5" t="s">
        <v>3510</v>
      </c>
      <c r="P39" s="5" t="s">
        <v>3537</v>
      </c>
      <c r="AD39" s="11" t="s">
        <v>3580</v>
      </c>
    </row>
    <row r="40" spans="1:30">
      <c r="A40" s="5" t="s">
        <v>3511</v>
      </c>
      <c r="P40" s="5" t="s">
        <v>3538</v>
      </c>
      <c r="AD40" s="11" t="s">
        <v>3581</v>
      </c>
    </row>
    <row r="41" spans="1:30">
      <c r="A41" s="5" t="s">
        <v>3512</v>
      </c>
      <c r="P41" s="5" t="s">
        <v>3539</v>
      </c>
      <c r="AD41" s="11" t="s">
        <v>3582</v>
      </c>
    </row>
    <row r="42" spans="1:30">
      <c r="A42" s="5" t="s">
        <v>3513</v>
      </c>
      <c r="P42" s="5" t="s">
        <v>3540</v>
      </c>
    </row>
    <row r="43" spans="1:30">
      <c r="A43" s="5" t="s">
        <v>3514</v>
      </c>
      <c r="P43" s="5" t="s">
        <v>3541</v>
      </c>
    </row>
    <row r="58" spans="1:1">
      <c r="A58" s="5"/>
    </row>
    <row r="66" spans="1:1">
      <c r="A66" s="5"/>
    </row>
    <row r="88" spans="1:1">
      <c r="A88"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A43A1-8719-409A-8200-FE7C79F61FAE}">
  <sheetPr codeName="Лист5">
    <tabColor rgb="FFFFFF00"/>
  </sheetPr>
  <dimension ref="A1:N118"/>
  <sheetViews>
    <sheetView topLeftCell="A52" workbookViewId="0">
      <selection activeCell="A35" sqref="A35:O55"/>
    </sheetView>
  </sheetViews>
  <sheetFormatPr defaultRowHeight="14.25"/>
  <cols>
    <col min="1" max="1" width="9.140625" style="12" customWidth="1"/>
    <col min="2" max="16384" width="9.140625" style="12"/>
  </cols>
  <sheetData>
    <row r="1" spans="1:14">
      <c r="A1" s="14" t="s">
        <v>3583</v>
      </c>
    </row>
    <row r="2" spans="1:14" ht="15">
      <c r="A2" s="35" t="s">
        <v>3584</v>
      </c>
      <c r="B2" s="35"/>
      <c r="C2" s="35"/>
      <c r="D2" s="35"/>
      <c r="E2" s="35"/>
      <c r="F2" s="35"/>
      <c r="G2" s="35"/>
      <c r="H2" s="35"/>
      <c r="I2" s="35"/>
      <c r="J2" s="35"/>
      <c r="K2" s="35"/>
      <c r="L2" s="35"/>
      <c r="M2" s="35"/>
      <c r="N2" s="35"/>
    </row>
    <row r="3" spans="1:14">
      <c r="A3" s="5" t="s">
        <v>3585</v>
      </c>
      <c r="D3" s="5" t="s">
        <v>3635</v>
      </c>
      <c r="G3" s="5" t="s">
        <v>3685</v>
      </c>
      <c r="K3" s="5" t="s">
        <v>3735</v>
      </c>
    </row>
    <row r="4" spans="1:14">
      <c r="A4" s="5" t="s">
        <v>3586</v>
      </c>
      <c r="D4" s="5" t="s">
        <v>3636</v>
      </c>
      <c r="G4" s="5" t="s">
        <v>3686</v>
      </c>
      <c r="K4" s="5" t="s">
        <v>3736</v>
      </c>
    </row>
    <row r="5" spans="1:14">
      <c r="A5" s="5" t="s">
        <v>3587</v>
      </c>
      <c r="D5" s="5" t="s">
        <v>3637</v>
      </c>
      <c r="G5" s="5" t="s">
        <v>3687</v>
      </c>
      <c r="K5" s="5" t="s">
        <v>3737</v>
      </c>
    </row>
    <row r="6" spans="1:14">
      <c r="A6" s="5" t="s">
        <v>3588</v>
      </c>
      <c r="D6" s="5" t="s">
        <v>3638</v>
      </c>
      <c r="G6" s="5" t="s">
        <v>3688</v>
      </c>
      <c r="K6" s="5" t="s">
        <v>3738</v>
      </c>
    </row>
    <row r="7" spans="1:14">
      <c r="A7" s="5" t="s">
        <v>3589</v>
      </c>
      <c r="D7" s="5" t="s">
        <v>3639</v>
      </c>
      <c r="G7" s="5" t="s">
        <v>3689</v>
      </c>
      <c r="K7" s="5" t="s">
        <v>3739</v>
      </c>
    </row>
    <row r="8" spans="1:14">
      <c r="A8" s="5" t="s">
        <v>3590</v>
      </c>
      <c r="D8" s="5" t="s">
        <v>3640</v>
      </c>
      <c r="G8" s="5" t="s">
        <v>3690</v>
      </c>
      <c r="K8" s="5" t="s">
        <v>3740</v>
      </c>
    </row>
    <row r="9" spans="1:14">
      <c r="A9" s="5" t="s">
        <v>3591</v>
      </c>
      <c r="D9" s="5" t="s">
        <v>3641</v>
      </c>
      <c r="G9" s="5" t="s">
        <v>3691</v>
      </c>
      <c r="K9" s="5" t="s">
        <v>3741</v>
      </c>
    </row>
    <row r="10" spans="1:14">
      <c r="A10" s="5" t="s">
        <v>3592</v>
      </c>
      <c r="D10" s="5" t="s">
        <v>3642</v>
      </c>
      <c r="G10" s="5" t="s">
        <v>3692</v>
      </c>
      <c r="K10" s="5" t="s">
        <v>3742</v>
      </c>
    </row>
    <row r="11" spans="1:14">
      <c r="A11" s="5" t="s">
        <v>3593</v>
      </c>
      <c r="D11" s="5" t="s">
        <v>3643</v>
      </c>
      <c r="G11" s="5" t="s">
        <v>3693</v>
      </c>
      <c r="K11" s="5" t="s">
        <v>3743</v>
      </c>
    </row>
    <row r="12" spans="1:14">
      <c r="A12" s="5" t="s">
        <v>3594</v>
      </c>
      <c r="D12" s="5" t="s">
        <v>3644</v>
      </c>
      <c r="G12" s="5" t="s">
        <v>3694</v>
      </c>
      <c r="K12" s="5" t="s">
        <v>3744</v>
      </c>
    </row>
    <row r="13" spans="1:14">
      <c r="A13" s="5" t="s">
        <v>3595</v>
      </c>
      <c r="D13" s="5" t="s">
        <v>3645</v>
      </c>
      <c r="G13" s="5" t="s">
        <v>3695</v>
      </c>
      <c r="K13" s="5" t="s">
        <v>3745</v>
      </c>
    </row>
    <row r="14" spans="1:14">
      <c r="A14" s="5" t="s">
        <v>3596</v>
      </c>
      <c r="D14" s="5" t="s">
        <v>3646</v>
      </c>
      <c r="G14" s="5" t="s">
        <v>3696</v>
      </c>
      <c r="K14" s="5" t="s">
        <v>3746</v>
      </c>
    </row>
    <row r="15" spans="1:14">
      <c r="A15" s="5" t="s">
        <v>3597</v>
      </c>
      <c r="D15" s="5" t="s">
        <v>3647</v>
      </c>
      <c r="G15" s="5" t="s">
        <v>3697</v>
      </c>
      <c r="K15" s="5" t="s">
        <v>3747</v>
      </c>
    </row>
    <row r="16" spans="1:14">
      <c r="A16" s="5" t="s">
        <v>3598</v>
      </c>
      <c r="D16" s="5" t="s">
        <v>3648</v>
      </c>
      <c r="G16" s="5" t="s">
        <v>3698</v>
      </c>
      <c r="K16" s="5" t="s">
        <v>3748</v>
      </c>
    </row>
    <row r="17" spans="1:11">
      <c r="A17" s="5" t="s">
        <v>3599</v>
      </c>
      <c r="D17" s="5" t="s">
        <v>3649</v>
      </c>
      <c r="G17" s="5" t="s">
        <v>3699</v>
      </c>
      <c r="K17" s="5" t="s">
        <v>3749</v>
      </c>
    </row>
    <row r="18" spans="1:11">
      <c r="A18" s="5" t="s">
        <v>3600</v>
      </c>
      <c r="D18" s="5" t="s">
        <v>3650</v>
      </c>
      <c r="G18" s="5" t="s">
        <v>3700</v>
      </c>
      <c r="K18" s="5" t="s">
        <v>3750</v>
      </c>
    </row>
    <row r="19" spans="1:11">
      <c r="A19" s="5" t="s">
        <v>3601</v>
      </c>
      <c r="D19" s="5" t="s">
        <v>3651</v>
      </c>
      <c r="G19" s="5" t="s">
        <v>3701</v>
      </c>
      <c r="K19" s="5" t="s">
        <v>3751</v>
      </c>
    </row>
    <row r="20" spans="1:11">
      <c r="A20" s="5" t="s">
        <v>3602</v>
      </c>
      <c r="D20" s="5" t="s">
        <v>3652</v>
      </c>
      <c r="G20" s="5" t="s">
        <v>3702</v>
      </c>
      <c r="K20" s="5" t="s">
        <v>3752</v>
      </c>
    </row>
    <row r="21" spans="1:11">
      <c r="A21" s="5" t="s">
        <v>3603</v>
      </c>
      <c r="D21" s="5" t="s">
        <v>3653</v>
      </c>
      <c r="G21" s="5" t="s">
        <v>3703</v>
      </c>
      <c r="K21" s="5" t="s">
        <v>3753</v>
      </c>
    </row>
    <row r="22" spans="1:11">
      <c r="A22" s="5" t="s">
        <v>3604</v>
      </c>
      <c r="D22" s="5" t="s">
        <v>3654</v>
      </c>
      <c r="G22" s="5" t="s">
        <v>3704</v>
      </c>
      <c r="K22" s="5" t="s">
        <v>3754</v>
      </c>
    </row>
    <row r="23" spans="1:11">
      <c r="A23" s="5" t="s">
        <v>3605</v>
      </c>
      <c r="D23" s="5" t="s">
        <v>3655</v>
      </c>
      <c r="G23" s="5" t="s">
        <v>3705</v>
      </c>
      <c r="K23" s="5" t="s">
        <v>3755</v>
      </c>
    </row>
    <row r="24" spans="1:11">
      <c r="A24" s="5" t="s">
        <v>3606</v>
      </c>
      <c r="D24" s="5" t="s">
        <v>3656</v>
      </c>
      <c r="G24" s="5" t="s">
        <v>3706</v>
      </c>
      <c r="K24" s="5" t="s">
        <v>3756</v>
      </c>
    </row>
    <row r="25" spans="1:11">
      <c r="A25" s="5" t="s">
        <v>3607</v>
      </c>
      <c r="D25" s="5" t="s">
        <v>3657</v>
      </c>
      <c r="G25" s="5" t="s">
        <v>3707</v>
      </c>
      <c r="K25" s="5" t="s">
        <v>3757</v>
      </c>
    </row>
    <row r="26" spans="1:11">
      <c r="A26" s="5" t="s">
        <v>3608</v>
      </c>
      <c r="D26" s="5" t="s">
        <v>3658</v>
      </c>
      <c r="G26" s="5" t="s">
        <v>3708</v>
      </c>
      <c r="K26" s="5" t="s">
        <v>3758</v>
      </c>
    </row>
    <row r="27" spans="1:11">
      <c r="A27" s="5" t="s">
        <v>3609</v>
      </c>
      <c r="D27" s="5" t="s">
        <v>3659</v>
      </c>
      <c r="G27" s="5" t="s">
        <v>3709</v>
      </c>
      <c r="K27" s="5" t="s">
        <v>3759</v>
      </c>
    </row>
    <row r="28" spans="1:11">
      <c r="A28" s="5" t="s">
        <v>3610</v>
      </c>
      <c r="D28" s="5" t="s">
        <v>3660</v>
      </c>
      <c r="G28" s="5" t="s">
        <v>3710</v>
      </c>
      <c r="K28" s="5" t="s">
        <v>3760</v>
      </c>
    </row>
    <row r="29" spans="1:11">
      <c r="A29" s="5" t="s">
        <v>3611</v>
      </c>
      <c r="D29" s="5" t="s">
        <v>3661</v>
      </c>
      <c r="G29" s="5" t="s">
        <v>3711</v>
      </c>
      <c r="K29" s="5" t="s">
        <v>3761</v>
      </c>
    </row>
    <row r="30" spans="1:11">
      <c r="A30" s="5" t="s">
        <v>3612</v>
      </c>
      <c r="D30" s="5" t="s">
        <v>3662</v>
      </c>
      <c r="G30" s="5" t="s">
        <v>3712</v>
      </c>
      <c r="K30" s="5" t="s">
        <v>3762</v>
      </c>
    </row>
    <row r="31" spans="1:11">
      <c r="A31" s="5" t="s">
        <v>3613</v>
      </c>
      <c r="D31" s="5" t="s">
        <v>3663</v>
      </c>
      <c r="G31" s="5" t="s">
        <v>3713</v>
      </c>
      <c r="K31" s="5" t="s">
        <v>3763</v>
      </c>
    </row>
    <row r="32" spans="1:11">
      <c r="A32" s="5" t="s">
        <v>3614</v>
      </c>
      <c r="D32" s="5" t="s">
        <v>3664</v>
      </c>
      <c r="G32" s="5" t="s">
        <v>3714</v>
      </c>
      <c r="K32" s="5" t="s">
        <v>3764</v>
      </c>
    </row>
    <row r="33" spans="1:11">
      <c r="A33" s="5" t="s">
        <v>3615</v>
      </c>
      <c r="D33" s="5" t="s">
        <v>3665</v>
      </c>
      <c r="G33" s="5" t="s">
        <v>3715</v>
      </c>
      <c r="K33" s="5" t="s">
        <v>3765</v>
      </c>
    </row>
    <row r="34" spans="1:11">
      <c r="A34" s="5" t="s">
        <v>3616</v>
      </c>
      <c r="D34" s="5" t="s">
        <v>3666</v>
      </c>
      <c r="G34" s="5" t="s">
        <v>3716</v>
      </c>
      <c r="K34" s="5" t="s">
        <v>3766</v>
      </c>
    </row>
    <row r="35" spans="1:11">
      <c r="A35" s="5" t="s">
        <v>3617</v>
      </c>
      <c r="D35" s="5" t="s">
        <v>3667</v>
      </c>
      <c r="G35" s="5" t="s">
        <v>3717</v>
      </c>
      <c r="K35" s="5" t="s">
        <v>3767</v>
      </c>
    </row>
    <row r="36" spans="1:11">
      <c r="A36" s="5" t="s">
        <v>3618</v>
      </c>
      <c r="D36" s="5" t="s">
        <v>3668</v>
      </c>
      <c r="G36" s="5" t="s">
        <v>3718</v>
      </c>
      <c r="K36" s="5" t="s">
        <v>3768</v>
      </c>
    </row>
    <row r="37" spans="1:11">
      <c r="A37" s="5" t="s">
        <v>3619</v>
      </c>
      <c r="D37" s="5" t="s">
        <v>3669</v>
      </c>
      <c r="G37" s="5" t="s">
        <v>3719</v>
      </c>
      <c r="K37" s="5" t="s">
        <v>3769</v>
      </c>
    </row>
    <row r="38" spans="1:11">
      <c r="A38" s="5" t="s">
        <v>3620</v>
      </c>
      <c r="D38" s="5" t="s">
        <v>3670</v>
      </c>
      <c r="G38" s="5" t="s">
        <v>3720</v>
      </c>
      <c r="K38" s="5" t="s">
        <v>3770</v>
      </c>
    </row>
    <row r="39" spans="1:11">
      <c r="A39" s="5" t="s">
        <v>3621</v>
      </c>
      <c r="D39" s="5" t="s">
        <v>3671</v>
      </c>
      <c r="G39" s="5" t="s">
        <v>3721</v>
      </c>
      <c r="K39" s="5" t="s">
        <v>3771</v>
      </c>
    </row>
    <row r="40" spans="1:11">
      <c r="A40" s="5" t="s">
        <v>3622</v>
      </c>
      <c r="D40" s="5" t="s">
        <v>3672</v>
      </c>
      <c r="G40" s="5" t="s">
        <v>3722</v>
      </c>
      <c r="K40" s="5" t="s">
        <v>3772</v>
      </c>
    </row>
    <row r="41" spans="1:11">
      <c r="A41" s="5" t="s">
        <v>3623</v>
      </c>
      <c r="D41" s="5" t="s">
        <v>3673</v>
      </c>
      <c r="G41" s="5" t="s">
        <v>3723</v>
      </c>
      <c r="K41" s="5" t="s">
        <v>3773</v>
      </c>
    </row>
    <row r="42" spans="1:11">
      <c r="A42" s="5" t="s">
        <v>3624</v>
      </c>
      <c r="D42" s="5" t="s">
        <v>3674</v>
      </c>
      <c r="G42" s="5" t="s">
        <v>3724</v>
      </c>
      <c r="K42" s="5" t="s">
        <v>3774</v>
      </c>
    </row>
    <row r="43" spans="1:11">
      <c r="A43" s="5" t="s">
        <v>3625</v>
      </c>
      <c r="D43" s="5" t="s">
        <v>3675</v>
      </c>
      <c r="G43" s="5" t="s">
        <v>3725</v>
      </c>
      <c r="K43" s="5" t="s">
        <v>3775</v>
      </c>
    </row>
    <row r="44" spans="1:11">
      <c r="A44" s="5" t="s">
        <v>3626</v>
      </c>
      <c r="D44" s="5" t="s">
        <v>3676</v>
      </c>
      <c r="G44" s="5" t="s">
        <v>3726</v>
      </c>
      <c r="K44" s="5" t="s">
        <v>3776</v>
      </c>
    </row>
    <row r="45" spans="1:11">
      <c r="A45" s="5" t="s">
        <v>3627</v>
      </c>
      <c r="D45" s="5" t="s">
        <v>3677</v>
      </c>
      <c r="G45" s="5" t="s">
        <v>3727</v>
      </c>
      <c r="K45" s="5" t="s">
        <v>3777</v>
      </c>
    </row>
    <row r="46" spans="1:11">
      <c r="A46" s="5" t="s">
        <v>3628</v>
      </c>
      <c r="D46" s="5" t="s">
        <v>3678</v>
      </c>
      <c r="G46" s="5" t="s">
        <v>3728</v>
      </c>
      <c r="K46" s="5" t="s">
        <v>3778</v>
      </c>
    </row>
    <row r="47" spans="1:11">
      <c r="A47" s="5" t="s">
        <v>3629</v>
      </c>
      <c r="D47" s="5" t="s">
        <v>3679</v>
      </c>
      <c r="G47" s="5" t="s">
        <v>3729</v>
      </c>
      <c r="K47" s="5" t="s">
        <v>3779</v>
      </c>
    </row>
    <row r="48" spans="1:11">
      <c r="A48" s="5" t="s">
        <v>3630</v>
      </c>
      <c r="D48" s="5" t="s">
        <v>3680</v>
      </c>
      <c r="G48" s="5" t="s">
        <v>3730</v>
      </c>
      <c r="K48" s="5" t="s">
        <v>3780</v>
      </c>
    </row>
    <row r="49" spans="1:11">
      <c r="A49" s="5" t="s">
        <v>3631</v>
      </c>
      <c r="D49" s="5" t="s">
        <v>3681</v>
      </c>
      <c r="G49" s="5" t="s">
        <v>3731</v>
      </c>
      <c r="K49" s="5" t="s">
        <v>3781</v>
      </c>
    </row>
    <row r="50" spans="1:11">
      <c r="A50" s="5" t="s">
        <v>3632</v>
      </c>
      <c r="D50" s="5" t="s">
        <v>3682</v>
      </c>
      <c r="G50" s="5" t="s">
        <v>3732</v>
      </c>
      <c r="K50" s="5" t="s">
        <v>3782</v>
      </c>
    </row>
    <row r="51" spans="1:11">
      <c r="A51" s="5" t="s">
        <v>3633</v>
      </c>
      <c r="D51" s="5" t="s">
        <v>3683</v>
      </c>
      <c r="G51" s="5" t="s">
        <v>3733</v>
      </c>
      <c r="K51" s="5" t="s">
        <v>3783</v>
      </c>
    </row>
    <row r="52" spans="1:11">
      <c r="A52" s="5" t="s">
        <v>3634</v>
      </c>
      <c r="D52" s="5" t="s">
        <v>3684</v>
      </c>
      <c r="G52" s="5" t="s">
        <v>3734</v>
      </c>
      <c r="K52" s="5" t="s">
        <v>3784</v>
      </c>
    </row>
    <row r="54" spans="1:11" ht="15">
      <c r="A54" s="13" t="s">
        <v>3785</v>
      </c>
      <c r="G54" s="13" t="s">
        <v>3806</v>
      </c>
    </row>
    <row r="55" spans="1:11">
      <c r="A55" s="5" t="s">
        <v>3786</v>
      </c>
      <c r="G55" s="5" t="s">
        <v>3807</v>
      </c>
    </row>
    <row r="56" spans="1:11">
      <c r="A56" s="5" t="s">
        <v>3787</v>
      </c>
      <c r="G56" s="5" t="s">
        <v>3808</v>
      </c>
    </row>
    <row r="57" spans="1:11">
      <c r="A57" s="5" t="s">
        <v>3788</v>
      </c>
      <c r="G57" s="5" t="s">
        <v>3809</v>
      </c>
    </row>
    <row r="58" spans="1:11">
      <c r="A58" s="5" t="s">
        <v>3789</v>
      </c>
      <c r="G58" s="5" t="s">
        <v>3810</v>
      </c>
    </row>
    <row r="59" spans="1:11">
      <c r="A59" s="5" t="s">
        <v>3790</v>
      </c>
      <c r="G59" s="5" t="s">
        <v>3811</v>
      </c>
    </row>
    <row r="60" spans="1:11">
      <c r="A60" s="5" t="s">
        <v>3791</v>
      </c>
      <c r="G60" s="5" t="s">
        <v>3812</v>
      </c>
    </row>
    <row r="61" spans="1:11">
      <c r="A61" s="5" t="s">
        <v>3792</v>
      </c>
      <c r="G61" s="5" t="s">
        <v>3813</v>
      </c>
    </row>
    <row r="62" spans="1:11">
      <c r="A62" s="5" t="s">
        <v>3793</v>
      </c>
      <c r="G62" s="5" t="s">
        <v>3814</v>
      </c>
    </row>
    <row r="63" spans="1:11">
      <c r="A63" s="5" t="s">
        <v>3794</v>
      </c>
      <c r="G63" s="5" t="s">
        <v>3815</v>
      </c>
    </row>
    <row r="64" spans="1:11">
      <c r="A64" s="5" t="s">
        <v>3795</v>
      </c>
      <c r="G64" s="5" t="s">
        <v>3816</v>
      </c>
    </row>
    <row r="65" spans="1:7">
      <c r="A65" s="5" t="s">
        <v>3796</v>
      </c>
    </row>
    <row r="66" spans="1:7" ht="15">
      <c r="A66" s="5" t="s">
        <v>3797</v>
      </c>
      <c r="G66" s="13" t="s">
        <v>3817</v>
      </c>
    </row>
    <row r="67" spans="1:7">
      <c r="A67" s="5" t="s">
        <v>3798</v>
      </c>
      <c r="G67" s="5" t="s">
        <v>3818</v>
      </c>
    </row>
    <row r="68" spans="1:7">
      <c r="A68" s="5" t="s">
        <v>3799</v>
      </c>
      <c r="G68" s="5" t="s">
        <v>3819</v>
      </c>
    </row>
    <row r="69" spans="1:7">
      <c r="A69" s="5" t="s">
        <v>3800</v>
      </c>
      <c r="G69" s="5" t="s">
        <v>3820</v>
      </c>
    </row>
    <row r="70" spans="1:7">
      <c r="A70" s="5" t="s">
        <v>3801</v>
      </c>
      <c r="G70" s="5" t="s">
        <v>3821</v>
      </c>
    </row>
    <row r="71" spans="1:7">
      <c r="A71" s="5" t="s">
        <v>3802</v>
      </c>
      <c r="G71" s="5" t="s">
        <v>3822</v>
      </c>
    </row>
    <row r="72" spans="1:7">
      <c r="A72" s="5" t="s">
        <v>3803</v>
      </c>
      <c r="G72" s="5" t="s">
        <v>3823</v>
      </c>
    </row>
    <row r="73" spans="1:7">
      <c r="A73" s="5" t="s">
        <v>3804</v>
      </c>
      <c r="G73" s="5" t="s">
        <v>3824</v>
      </c>
    </row>
    <row r="74" spans="1:7">
      <c r="A74" s="5" t="s">
        <v>3805</v>
      </c>
      <c r="G74" s="5" t="s">
        <v>3825</v>
      </c>
    </row>
    <row r="76" spans="1:7" ht="15">
      <c r="A76" s="13" t="s">
        <v>3826</v>
      </c>
      <c r="G76" s="13" t="s">
        <v>3839</v>
      </c>
    </row>
    <row r="77" spans="1:7">
      <c r="A77" s="5" t="s">
        <v>3827</v>
      </c>
      <c r="G77" s="5" t="s">
        <v>3840</v>
      </c>
    </row>
    <row r="78" spans="1:7">
      <c r="A78" s="5" t="s">
        <v>3828</v>
      </c>
      <c r="G78" s="5" t="s">
        <v>3841</v>
      </c>
    </row>
    <row r="79" spans="1:7">
      <c r="A79" s="5" t="s">
        <v>3829</v>
      </c>
      <c r="G79" s="5" t="s">
        <v>3842</v>
      </c>
    </row>
    <row r="80" spans="1:7">
      <c r="A80" s="5" t="s">
        <v>3830</v>
      </c>
      <c r="G80" s="5" t="s">
        <v>3843</v>
      </c>
    </row>
    <row r="81" spans="1:7">
      <c r="A81" s="5" t="s">
        <v>3831</v>
      </c>
      <c r="G81" s="5" t="s">
        <v>3844</v>
      </c>
    </row>
    <row r="82" spans="1:7">
      <c r="A82" s="5" t="s">
        <v>3832</v>
      </c>
      <c r="G82" s="5" t="s">
        <v>3845</v>
      </c>
    </row>
    <row r="83" spans="1:7">
      <c r="A83" s="5" t="s">
        <v>3833</v>
      </c>
      <c r="G83" s="5" t="s">
        <v>3846</v>
      </c>
    </row>
    <row r="84" spans="1:7">
      <c r="A84" s="5" t="s">
        <v>3834</v>
      </c>
      <c r="G84" s="5" t="s">
        <v>3847</v>
      </c>
    </row>
    <row r="85" spans="1:7">
      <c r="A85" s="5" t="s">
        <v>3835</v>
      </c>
    </row>
    <row r="86" spans="1:7" ht="15">
      <c r="A86" s="5" t="s">
        <v>3836</v>
      </c>
      <c r="G86" s="13" t="s">
        <v>3859</v>
      </c>
    </row>
    <row r="87" spans="1:7">
      <c r="A87" s="5" t="s">
        <v>3837</v>
      </c>
      <c r="G87" s="5" t="s">
        <v>3860</v>
      </c>
    </row>
    <row r="88" spans="1:7">
      <c r="A88" s="5" t="s">
        <v>3838</v>
      </c>
      <c r="G88" s="5" t="s">
        <v>3861</v>
      </c>
    </row>
    <row r="89" spans="1:7">
      <c r="G89" s="5" t="s">
        <v>3862</v>
      </c>
    </row>
    <row r="90" spans="1:7" ht="15">
      <c r="A90" s="13" t="s">
        <v>3848</v>
      </c>
      <c r="G90" s="5" t="s">
        <v>3863</v>
      </c>
    </row>
    <row r="91" spans="1:7">
      <c r="A91" s="5" t="s">
        <v>3849</v>
      </c>
      <c r="G91" s="5" t="s">
        <v>3864</v>
      </c>
    </row>
    <row r="92" spans="1:7">
      <c r="A92" s="5" t="s">
        <v>3850</v>
      </c>
      <c r="G92" s="5" t="s">
        <v>3865</v>
      </c>
    </row>
    <row r="93" spans="1:7">
      <c r="A93" s="5" t="s">
        <v>3851</v>
      </c>
      <c r="G93" s="5" t="s">
        <v>3866</v>
      </c>
    </row>
    <row r="94" spans="1:7">
      <c r="A94" s="5" t="s">
        <v>3852</v>
      </c>
      <c r="G94" s="5" t="s">
        <v>3867</v>
      </c>
    </row>
    <row r="95" spans="1:7">
      <c r="A95" s="5" t="s">
        <v>3853</v>
      </c>
      <c r="G95" s="5" t="s">
        <v>3868</v>
      </c>
    </row>
    <row r="96" spans="1:7">
      <c r="A96" s="5" t="s">
        <v>3854</v>
      </c>
      <c r="G96" s="5" t="s">
        <v>3869</v>
      </c>
    </row>
    <row r="97" spans="1:7">
      <c r="A97" s="5" t="s">
        <v>3855</v>
      </c>
    </row>
    <row r="98" spans="1:7" ht="15">
      <c r="A98" s="5" t="s">
        <v>3856</v>
      </c>
      <c r="G98" s="13" t="s">
        <v>517</v>
      </c>
    </row>
    <row r="99" spans="1:7">
      <c r="A99" s="5" t="s">
        <v>3857</v>
      </c>
      <c r="G99" s="5" t="s">
        <v>3881</v>
      </c>
    </row>
    <row r="100" spans="1:7">
      <c r="A100" s="5" t="s">
        <v>3858</v>
      </c>
      <c r="G100" s="5" t="s">
        <v>3882</v>
      </c>
    </row>
    <row r="101" spans="1:7">
      <c r="G101" s="5" t="s">
        <v>3883</v>
      </c>
    </row>
    <row r="102" spans="1:7" ht="15">
      <c r="A102" s="13" t="s">
        <v>3870</v>
      </c>
      <c r="G102" s="5" t="s">
        <v>3884</v>
      </c>
    </row>
    <row r="103" spans="1:7">
      <c r="A103" s="5" t="s">
        <v>3871</v>
      </c>
      <c r="G103" s="5" t="s">
        <v>3885</v>
      </c>
    </row>
    <row r="104" spans="1:7">
      <c r="A104" s="5" t="s">
        <v>3872</v>
      </c>
      <c r="G104" s="5" t="s">
        <v>3886</v>
      </c>
    </row>
    <row r="105" spans="1:7">
      <c r="A105" s="5" t="s">
        <v>3873</v>
      </c>
      <c r="G105" s="5" t="s">
        <v>3887</v>
      </c>
    </row>
    <row r="106" spans="1:7">
      <c r="A106" s="5" t="s">
        <v>3874</v>
      </c>
      <c r="G106" s="5" t="s">
        <v>3888</v>
      </c>
    </row>
    <row r="107" spans="1:7">
      <c r="A107" s="5" t="s">
        <v>3875</v>
      </c>
      <c r="G107" s="5" t="s">
        <v>3889</v>
      </c>
    </row>
    <row r="108" spans="1:7">
      <c r="A108" s="5" t="s">
        <v>3876</v>
      </c>
      <c r="G108" s="5" t="s">
        <v>3890</v>
      </c>
    </row>
    <row r="109" spans="1:7">
      <c r="A109" s="5" t="s">
        <v>3877</v>
      </c>
      <c r="G109" s="5" t="s">
        <v>3891</v>
      </c>
    </row>
    <row r="110" spans="1:7">
      <c r="A110" s="5" t="s">
        <v>3878</v>
      </c>
      <c r="G110" s="5" t="s">
        <v>3892</v>
      </c>
    </row>
    <row r="111" spans="1:7">
      <c r="A111" s="5" t="s">
        <v>3879</v>
      </c>
      <c r="G111" s="5" t="s">
        <v>3893</v>
      </c>
    </row>
    <row r="112" spans="1:7">
      <c r="A112" s="5" t="s">
        <v>3880</v>
      </c>
      <c r="G112" s="5" t="s">
        <v>3894</v>
      </c>
    </row>
    <row r="113" spans="7:7">
      <c r="G113" s="5" t="s">
        <v>3895</v>
      </c>
    </row>
    <row r="114" spans="7:7">
      <c r="G114" s="5" t="s">
        <v>3896</v>
      </c>
    </row>
    <row r="115" spans="7:7">
      <c r="G115" s="5" t="s">
        <v>3897</v>
      </c>
    </row>
    <row r="116" spans="7:7">
      <c r="G116" s="5" t="s">
        <v>3898</v>
      </c>
    </row>
    <row r="117" spans="7:7">
      <c r="G117" s="5" t="s">
        <v>3899</v>
      </c>
    </row>
    <row r="118" spans="7:7">
      <c r="G118" s="5" t="s">
        <v>3900</v>
      </c>
    </row>
  </sheetData>
  <mergeCells count="1">
    <mergeCell ref="A2:N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96CAF-C89F-4BED-825B-94272796851C}">
  <sheetPr codeName="Лист6">
    <tabColor rgb="FFFFFF00"/>
  </sheetPr>
  <dimension ref="A1:F26"/>
  <sheetViews>
    <sheetView workbookViewId="0">
      <selection activeCell="A35" sqref="A35:O55"/>
    </sheetView>
  </sheetViews>
  <sheetFormatPr defaultRowHeight="15"/>
  <cols>
    <col min="1" max="16384" width="9.140625" style="6"/>
  </cols>
  <sheetData>
    <row r="1" spans="1:6" ht="18.75">
      <c r="A1" s="4" t="s">
        <v>4835</v>
      </c>
    </row>
    <row r="2" spans="1:6">
      <c r="A2" s="3" t="s">
        <v>4836</v>
      </c>
      <c r="F2" s="3" t="s">
        <v>4845</v>
      </c>
    </row>
    <row r="3" spans="1:6">
      <c r="A3" s="5" t="s">
        <v>4837</v>
      </c>
      <c r="F3" s="5" t="s">
        <v>4846</v>
      </c>
    </row>
    <row r="4" spans="1:6">
      <c r="A4" s="5" t="s">
        <v>261</v>
      </c>
      <c r="F4" s="5" t="s">
        <v>4847</v>
      </c>
    </row>
    <row r="5" spans="1:6">
      <c r="A5" s="5" t="s">
        <v>262</v>
      </c>
      <c r="F5" s="5" t="s">
        <v>4848</v>
      </c>
    </row>
    <row r="6" spans="1:6">
      <c r="A6" s="5" t="s">
        <v>4838</v>
      </c>
      <c r="F6" s="5" t="s">
        <v>4849</v>
      </c>
    </row>
    <row r="7" spans="1:6">
      <c r="A7" s="5" t="s">
        <v>4839</v>
      </c>
      <c r="F7" s="5" t="s">
        <v>4850</v>
      </c>
    </row>
    <row r="8" spans="1:6">
      <c r="A8" s="5" t="s">
        <v>4840</v>
      </c>
      <c r="F8" s="5" t="s">
        <v>4851</v>
      </c>
    </row>
    <row r="9" spans="1:6">
      <c r="A9" s="5" t="s">
        <v>4841</v>
      </c>
    </row>
    <row r="10" spans="1:6">
      <c r="A10" s="5" t="s">
        <v>4842</v>
      </c>
      <c r="F10" s="3" t="s">
        <v>4852</v>
      </c>
    </row>
    <row r="11" spans="1:6">
      <c r="A11" s="5" t="s">
        <v>4843</v>
      </c>
      <c r="F11" s="5" t="s">
        <v>4853</v>
      </c>
    </row>
    <row r="12" spans="1:6">
      <c r="A12" s="5" t="s">
        <v>4844</v>
      </c>
      <c r="F12" s="5" t="s">
        <v>4854</v>
      </c>
    </row>
    <row r="13" spans="1:6">
      <c r="F13" s="5" t="s">
        <v>4855</v>
      </c>
    </row>
    <row r="14" spans="1:6">
      <c r="A14" s="3" t="s">
        <v>4861</v>
      </c>
      <c r="F14" s="5" t="s">
        <v>4856</v>
      </c>
    </row>
    <row r="15" spans="1:6">
      <c r="A15" s="5" t="s">
        <v>4862</v>
      </c>
      <c r="F15" s="5" t="s">
        <v>4857</v>
      </c>
    </row>
    <row r="16" spans="1:6">
      <c r="A16" s="5" t="s">
        <v>4863</v>
      </c>
      <c r="F16" s="5" t="s">
        <v>4858</v>
      </c>
    </row>
    <row r="17" spans="1:6">
      <c r="A17" s="5" t="s">
        <v>4864</v>
      </c>
      <c r="F17" s="5" t="s">
        <v>4859</v>
      </c>
    </row>
    <row r="18" spans="1:6">
      <c r="A18" s="5" t="s">
        <v>4865</v>
      </c>
      <c r="F18" s="5" t="s">
        <v>4860</v>
      </c>
    </row>
    <row r="20" spans="1:6">
      <c r="A20" s="3" t="s">
        <v>4866</v>
      </c>
      <c r="F20" s="3" t="s">
        <v>4873</v>
      </c>
    </row>
    <row r="21" spans="1:6">
      <c r="A21" s="5" t="s">
        <v>4867</v>
      </c>
      <c r="F21" s="5" t="s">
        <v>4874</v>
      </c>
    </row>
    <row r="22" spans="1:6">
      <c r="A22" s="5" t="s">
        <v>4868</v>
      </c>
      <c r="F22" s="5" t="s">
        <v>4875</v>
      </c>
    </row>
    <row r="23" spans="1:6">
      <c r="A23" s="5" t="s">
        <v>4869</v>
      </c>
      <c r="F23" s="5" t="s">
        <v>4876</v>
      </c>
    </row>
    <row r="24" spans="1:6">
      <c r="A24" s="5" t="s">
        <v>4870</v>
      </c>
      <c r="F24" s="5" t="s">
        <v>4877</v>
      </c>
    </row>
    <row r="25" spans="1:6">
      <c r="A25" s="5" t="s">
        <v>4871</v>
      </c>
      <c r="F25" s="5" t="s">
        <v>4878</v>
      </c>
    </row>
    <row r="26" spans="1:6">
      <c r="A26" s="5" t="s">
        <v>4872</v>
      </c>
      <c r="F26" s="5" t="s">
        <v>4879</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FF841-0A28-4E3A-BAA7-3C965F616D94}">
  <sheetPr codeName="Лист7">
    <tabColor rgb="FFFFFF00"/>
  </sheetPr>
  <dimension ref="A1:K107"/>
  <sheetViews>
    <sheetView topLeftCell="A82" workbookViewId="0">
      <selection activeCell="A35" sqref="A35:O55"/>
    </sheetView>
  </sheetViews>
  <sheetFormatPr defaultRowHeight="14.25"/>
  <cols>
    <col min="1" max="1" width="9.140625" style="16" customWidth="1"/>
    <col min="2" max="16384" width="9.140625" style="16"/>
  </cols>
  <sheetData>
    <row r="1" spans="1:7" ht="15">
      <c r="A1" s="15" t="s">
        <v>85</v>
      </c>
    </row>
    <row r="2" spans="1:7" ht="15">
      <c r="A2" s="15" t="s">
        <v>86</v>
      </c>
      <c r="G2" s="15" t="s">
        <v>97</v>
      </c>
    </row>
    <row r="3" spans="1:7">
      <c r="A3" s="16" t="s">
        <v>87</v>
      </c>
      <c r="G3" s="16" t="s">
        <v>98</v>
      </c>
    </row>
    <row r="4" spans="1:7">
      <c r="A4" s="16" t="s">
        <v>88</v>
      </c>
      <c r="G4" s="16" t="s">
        <v>99</v>
      </c>
    </row>
    <row r="5" spans="1:7">
      <c r="A5" s="16" t="s">
        <v>89</v>
      </c>
      <c r="G5" s="16" t="s">
        <v>100</v>
      </c>
    </row>
    <row r="6" spans="1:7">
      <c r="A6" s="16" t="s">
        <v>90</v>
      </c>
      <c r="G6" s="16" t="s">
        <v>101</v>
      </c>
    </row>
    <row r="7" spans="1:7">
      <c r="A7" s="16" t="s">
        <v>91</v>
      </c>
      <c r="G7" s="16" t="s">
        <v>102</v>
      </c>
    </row>
    <row r="8" spans="1:7">
      <c r="A8" s="16" t="s">
        <v>92</v>
      </c>
      <c r="G8" s="16" t="s">
        <v>103</v>
      </c>
    </row>
    <row r="9" spans="1:7">
      <c r="A9" s="16" t="s">
        <v>93</v>
      </c>
      <c r="G9" s="16" t="s">
        <v>104</v>
      </c>
    </row>
    <row r="10" spans="1:7">
      <c r="A10" s="16" t="s">
        <v>94</v>
      </c>
      <c r="G10" s="16" t="s">
        <v>105</v>
      </c>
    </row>
    <row r="11" spans="1:7">
      <c r="A11" s="16" t="s">
        <v>95</v>
      </c>
      <c r="G11" s="16" t="s">
        <v>106</v>
      </c>
    </row>
    <row r="12" spans="1:7">
      <c r="A12" s="16" t="s">
        <v>96</v>
      </c>
      <c r="G12" s="16" t="s">
        <v>107</v>
      </c>
    </row>
    <row r="13" spans="1:7">
      <c r="G13" s="16" t="s">
        <v>108</v>
      </c>
    </row>
    <row r="14" spans="1:7" ht="15">
      <c r="A14" s="15" t="s">
        <v>115</v>
      </c>
      <c r="G14" s="16" t="s">
        <v>109</v>
      </c>
    </row>
    <row r="15" spans="1:7">
      <c r="A15" s="16" t="s">
        <v>116</v>
      </c>
    </row>
    <row r="16" spans="1:7" ht="15">
      <c r="A16" s="16" t="s">
        <v>117</v>
      </c>
      <c r="G16" s="15" t="s">
        <v>110</v>
      </c>
    </row>
    <row r="17" spans="1:7">
      <c r="A17" s="16" t="s">
        <v>6761</v>
      </c>
      <c r="G17" s="16" t="s">
        <v>111</v>
      </c>
    </row>
    <row r="18" spans="1:7">
      <c r="A18" s="16" t="s">
        <v>118</v>
      </c>
      <c r="G18" s="16" t="s">
        <v>112</v>
      </c>
    </row>
    <row r="19" spans="1:7">
      <c r="A19" s="16" t="s">
        <v>6762</v>
      </c>
      <c r="G19" s="16" t="s">
        <v>113</v>
      </c>
    </row>
    <row r="20" spans="1:7">
      <c r="A20" s="16" t="s">
        <v>119</v>
      </c>
      <c r="G20" s="16" t="s">
        <v>114</v>
      </c>
    </row>
    <row r="22" spans="1:7" ht="15">
      <c r="A22" s="15" t="s">
        <v>120</v>
      </c>
      <c r="G22" s="15" t="s">
        <v>6764</v>
      </c>
    </row>
    <row r="23" spans="1:7">
      <c r="A23" s="16" t="s">
        <v>121</v>
      </c>
      <c r="G23" s="16" t="s">
        <v>130</v>
      </c>
    </row>
    <row r="24" spans="1:7">
      <c r="A24" s="16" t="s">
        <v>99</v>
      </c>
      <c r="G24" s="16" t="s">
        <v>131</v>
      </c>
    </row>
    <row r="25" spans="1:7">
      <c r="A25" s="16" t="s">
        <v>100</v>
      </c>
      <c r="G25" s="16" t="s">
        <v>6765</v>
      </c>
    </row>
    <row r="26" spans="1:7">
      <c r="A26" s="16" t="s">
        <v>122</v>
      </c>
      <c r="G26" s="16" t="s">
        <v>132</v>
      </c>
    </row>
    <row r="27" spans="1:7">
      <c r="A27" s="16" t="s">
        <v>123</v>
      </c>
      <c r="G27" s="16" t="s">
        <v>6766</v>
      </c>
    </row>
    <row r="28" spans="1:7">
      <c r="A28" s="16" t="s">
        <v>124</v>
      </c>
      <c r="G28" s="16" t="s">
        <v>133</v>
      </c>
    </row>
    <row r="29" spans="1:7">
      <c r="A29" s="16" t="s">
        <v>125</v>
      </c>
      <c r="G29" s="16" t="s">
        <v>134</v>
      </c>
    </row>
    <row r="30" spans="1:7">
      <c r="A30" s="16" t="s">
        <v>126</v>
      </c>
      <c r="G30" s="16" t="s">
        <v>6767</v>
      </c>
    </row>
    <row r="31" spans="1:7">
      <c r="A31" s="16" t="s">
        <v>127</v>
      </c>
      <c r="G31" s="16" t="s">
        <v>135</v>
      </c>
    </row>
    <row r="32" spans="1:7">
      <c r="A32" s="16" t="s">
        <v>128</v>
      </c>
      <c r="G32" s="16" t="s">
        <v>6768</v>
      </c>
    </row>
    <row r="33" spans="1:7">
      <c r="A33" s="16" t="s">
        <v>129</v>
      </c>
      <c r="G33" s="16" t="s">
        <v>136</v>
      </c>
    </row>
    <row r="34" spans="1:7">
      <c r="A34" s="16" t="s">
        <v>6763</v>
      </c>
      <c r="G34" s="16" t="s">
        <v>6769</v>
      </c>
    </row>
    <row r="36" spans="1:7" ht="15">
      <c r="A36" s="15" t="s">
        <v>137</v>
      </c>
      <c r="G36" s="15" t="s">
        <v>146</v>
      </c>
    </row>
    <row r="37" spans="1:7">
      <c r="A37" s="16" t="s">
        <v>138</v>
      </c>
      <c r="G37" s="16" t="s">
        <v>147</v>
      </c>
    </row>
    <row r="38" spans="1:7">
      <c r="A38" s="16" t="s">
        <v>139</v>
      </c>
      <c r="G38" s="16" t="s">
        <v>6772</v>
      </c>
    </row>
    <row r="39" spans="1:7">
      <c r="A39" s="16" t="s">
        <v>140</v>
      </c>
      <c r="G39" s="16" t="s">
        <v>148</v>
      </c>
    </row>
    <row r="40" spans="1:7">
      <c r="A40" s="16" t="s">
        <v>6770</v>
      </c>
      <c r="G40" s="16" t="s">
        <v>6773</v>
      </c>
    </row>
    <row r="41" spans="1:7">
      <c r="A41" s="16" t="s">
        <v>141</v>
      </c>
      <c r="G41" s="16" t="s">
        <v>6774</v>
      </c>
    </row>
    <row r="42" spans="1:7">
      <c r="A42" s="16" t="s">
        <v>142</v>
      </c>
      <c r="G42" s="16" t="s">
        <v>149</v>
      </c>
    </row>
    <row r="43" spans="1:7">
      <c r="A43" s="16" t="s">
        <v>143</v>
      </c>
    </row>
    <row r="44" spans="1:7" ht="15">
      <c r="A44" s="16" t="s">
        <v>6771</v>
      </c>
      <c r="G44" s="15" t="s">
        <v>6776</v>
      </c>
    </row>
    <row r="45" spans="1:7">
      <c r="A45" s="16" t="s">
        <v>144</v>
      </c>
      <c r="G45" s="16" t="s">
        <v>158</v>
      </c>
    </row>
    <row r="46" spans="1:7">
      <c r="A46" s="16" t="s">
        <v>145</v>
      </c>
      <c r="G46" s="16" t="s">
        <v>159</v>
      </c>
    </row>
    <row r="47" spans="1:7">
      <c r="G47" s="16" t="s">
        <v>160</v>
      </c>
    </row>
    <row r="48" spans="1:7" ht="15">
      <c r="A48" s="15" t="s">
        <v>6775</v>
      </c>
      <c r="G48" s="16" t="s">
        <v>161</v>
      </c>
    </row>
    <row r="49" spans="1:7">
      <c r="A49" s="16" t="s">
        <v>150</v>
      </c>
      <c r="G49" s="16" t="s">
        <v>162</v>
      </c>
    </row>
    <row r="50" spans="1:7">
      <c r="A50" s="16" t="s">
        <v>151</v>
      </c>
      <c r="G50" s="16" t="s">
        <v>163</v>
      </c>
    </row>
    <row r="51" spans="1:7">
      <c r="A51" s="16" t="s">
        <v>152</v>
      </c>
    </row>
    <row r="52" spans="1:7" ht="15">
      <c r="A52" s="16" t="s">
        <v>153</v>
      </c>
      <c r="G52" s="15" t="s">
        <v>6777</v>
      </c>
    </row>
    <row r="53" spans="1:7">
      <c r="A53" s="16" t="s">
        <v>154</v>
      </c>
      <c r="G53" s="16" t="s">
        <v>6778</v>
      </c>
    </row>
    <row r="54" spans="1:7">
      <c r="A54" s="16" t="s">
        <v>155</v>
      </c>
      <c r="G54" s="16" t="s">
        <v>178</v>
      </c>
    </row>
    <row r="55" spans="1:7">
      <c r="A55" s="16" t="s">
        <v>156</v>
      </c>
      <c r="G55" s="16" t="s">
        <v>179</v>
      </c>
    </row>
    <row r="56" spans="1:7">
      <c r="A56" s="16" t="s">
        <v>157</v>
      </c>
      <c r="G56" s="16" t="s">
        <v>180</v>
      </c>
    </row>
    <row r="57" spans="1:7">
      <c r="G57" s="16" t="s">
        <v>181</v>
      </c>
    </row>
    <row r="58" spans="1:7" ht="15">
      <c r="A58" s="15" t="s">
        <v>164</v>
      </c>
      <c r="G58" s="16" t="s">
        <v>182</v>
      </c>
    </row>
    <row r="59" spans="1:7">
      <c r="A59" s="16" t="s">
        <v>165</v>
      </c>
      <c r="G59" s="16" t="s">
        <v>183</v>
      </c>
    </row>
    <row r="60" spans="1:7">
      <c r="A60" s="16" t="s">
        <v>166</v>
      </c>
      <c r="G60" s="16" t="s">
        <v>184</v>
      </c>
    </row>
    <row r="61" spans="1:7">
      <c r="A61" s="16" t="s">
        <v>167</v>
      </c>
      <c r="G61" s="16" t="s">
        <v>185</v>
      </c>
    </row>
    <row r="62" spans="1:7">
      <c r="A62" s="16" t="s">
        <v>168</v>
      </c>
      <c r="G62" s="16" t="s">
        <v>186</v>
      </c>
    </row>
    <row r="63" spans="1:7">
      <c r="A63" s="16" t="s">
        <v>169</v>
      </c>
      <c r="G63" s="16" t="s">
        <v>187</v>
      </c>
    </row>
    <row r="64" spans="1:7">
      <c r="A64" s="16" t="s">
        <v>170</v>
      </c>
      <c r="G64" s="16" t="s">
        <v>188</v>
      </c>
    </row>
    <row r="65" spans="1:7">
      <c r="A65" s="16" t="s">
        <v>171</v>
      </c>
    </row>
    <row r="66" spans="1:7" ht="15">
      <c r="A66" s="16" t="s">
        <v>172</v>
      </c>
      <c r="G66" s="15" t="s">
        <v>208</v>
      </c>
    </row>
    <row r="67" spans="1:7">
      <c r="A67" s="16" t="s">
        <v>173</v>
      </c>
      <c r="G67" s="16" t="s">
        <v>209</v>
      </c>
    </row>
    <row r="68" spans="1:7">
      <c r="A68" s="16" t="s">
        <v>174</v>
      </c>
      <c r="G68" s="16" t="s">
        <v>210</v>
      </c>
    </row>
    <row r="69" spans="1:7">
      <c r="A69" s="16" t="s">
        <v>175</v>
      </c>
      <c r="G69" s="16" t="s">
        <v>211</v>
      </c>
    </row>
    <row r="70" spans="1:7">
      <c r="A70" s="16" t="s">
        <v>176</v>
      </c>
      <c r="G70" s="16" t="s">
        <v>212</v>
      </c>
    </row>
    <row r="71" spans="1:7">
      <c r="A71" s="16" t="s">
        <v>177</v>
      </c>
      <c r="G71" s="16" t="s">
        <v>213</v>
      </c>
    </row>
    <row r="72" spans="1:7">
      <c r="G72" s="16" t="s">
        <v>214</v>
      </c>
    </row>
    <row r="73" spans="1:7" ht="15">
      <c r="A73" s="15" t="s">
        <v>189</v>
      </c>
      <c r="G73" s="16" t="s">
        <v>215</v>
      </c>
    </row>
    <row r="74" spans="1:7">
      <c r="A74" s="16" t="s">
        <v>190</v>
      </c>
      <c r="G74" s="16" t="s">
        <v>216</v>
      </c>
    </row>
    <row r="75" spans="1:7">
      <c r="A75" s="16" t="s">
        <v>191</v>
      </c>
      <c r="G75" s="16" t="s">
        <v>217</v>
      </c>
    </row>
    <row r="76" spans="1:7">
      <c r="A76" s="16" t="s">
        <v>192</v>
      </c>
      <c r="G76" s="16" t="s">
        <v>218</v>
      </c>
    </row>
    <row r="77" spans="1:7">
      <c r="A77" s="16" t="s">
        <v>193</v>
      </c>
      <c r="G77" s="16" t="s">
        <v>219</v>
      </c>
    </row>
    <row r="78" spans="1:7">
      <c r="A78" s="16" t="s">
        <v>194</v>
      </c>
      <c r="G78" s="16" t="s">
        <v>220</v>
      </c>
    </row>
    <row r="79" spans="1:7">
      <c r="A79" s="16" t="s">
        <v>195</v>
      </c>
      <c r="G79" s="16" t="s">
        <v>221</v>
      </c>
    </row>
    <row r="80" spans="1:7">
      <c r="A80" s="16" t="s">
        <v>196</v>
      </c>
      <c r="G80" s="16" t="s">
        <v>222</v>
      </c>
    </row>
    <row r="81" spans="1:11">
      <c r="A81" s="16" t="s">
        <v>197</v>
      </c>
      <c r="G81" s="16" t="s">
        <v>223</v>
      </c>
    </row>
    <row r="82" spans="1:11">
      <c r="A82" s="16" t="s">
        <v>198</v>
      </c>
      <c r="G82" s="16" t="s">
        <v>224</v>
      </c>
    </row>
    <row r="83" spans="1:11">
      <c r="A83" s="16" t="s">
        <v>199</v>
      </c>
      <c r="G83" s="16" t="s">
        <v>225</v>
      </c>
    </row>
    <row r="84" spans="1:11">
      <c r="A84" s="16" t="s">
        <v>200</v>
      </c>
      <c r="G84" s="16" t="s">
        <v>226</v>
      </c>
    </row>
    <row r="85" spans="1:11">
      <c r="A85" s="16" t="s">
        <v>201</v>
      </c>
      <c r="G85" s="16" t="s">
        <v>227</v>
      </c>
    </row>
    <row r="86" spans="1:11">
      <c r="A86" s="16" t="s">
        <v>6779</v>
      </c>
      <c r="G86" s="16" t="s">
        <v>228</v>
      </c>
    </row>
    <row r="87" spans="1:11">
      <c r="A87" s="16" t="s">
        <v>202</v>
      </c>
    </row>
    <row r="88" spans="1:11">
      <c r="A88" s="16" t="s">
        <v>203</v>
      </c>
    </row>
    <row r="89" spans="1:11">
      <c r="A89" s="16" t="s">
        <v>204</v>
      </c>
    </row>
    <row r="90" spans="1:11">
      <c r="A90" s="16" t="s">
        <v>205</v>
      </c>
    </row>
    <row r="91" spans="1:11">
      <c r="A91" s="16" t="s">
        <v>206</v>
      </c>
    </row>
    <row r="92" spans="1:11">
      <c r="A92" s="16" t="s">
        <v>6780</v>
      </c>
    </row>
    <row r="93" spans="1:11">
      <c r="A93" s="16" t="s">
        <v>207</v>
      </c>
    </row>
    <row r="94" spans="1:11">
      <c r="A94" s="16" t="s">
        <v>6781</v>
      </c>
    </row>
    <row r="96" spans="1:11" ht="15">
      <c r="A96" s="36" t="s">
        <v>229</v>
      </c>
      <c r="B96" s="36"/>
      <c r="C96" s="36"/>
      <c r="D96" s="36"/>
      <c r="E96" s="36"/>
      <c r="F96" s="36"/>
      <c r="G96" s="36"/>
      <c r="H96" s="36"/>
      <c r="I96" s="36"/>
      <c r="J96" s="36"/>
      <c r="K96" s="36"/>
    </row>
    <row r="97" spans="1:7" ht="15">
      <c r="A97" s="15" t="s">
        <v>230</v>
      </c>
      <c r="G97" s="15" t="s">
        <v>241</v>
      </c>
    </row>
    <row r="98" spans="1:7">
      <c r="A98" s="16" t="s">
        <v>231</v>
      </c>
      <c r="G98" s="16" t="s">
        <v>242</v>
      </c>
    </row>
    <row r="99" spans="1:7">
      <c r="A99" s="16" t="s">
        <v>232</v>
      </c>
      <c r="G99" s="16" t="s">
        <v>243</v>
      </c>
    </row>
    <row r="100" spans="1:7">
      <c r="A100" s="16" t="s">
        <v>233</v>
      </c>
      <c r="G100" s="16" t="s">
        <v>244</v>
      </c>
    </row>
    <row r="101" spans="1:7">
      <c r="A101" s="16" t="s">
        <v>234</v>
      </c>
      <c r="G101" s="16" t="s">
        <v>245</v>
      </c>
    </row>
    <row r="102" spans="1:7">
      <c r="A102" s="16" t="s">
        <v>235</v>
      </c>
      <c r="G102" s="16" t="s">
        <v>246</v>
      </c>
    </row>
    <row r="103" spans="1:7">
      <c r="A103" s="16" t="s">
        <v>236</v>
      </c>
      <c r="G103" s="16" t="s">
        <v>247</v>
      </c>
    </row>
    <row r="104" spans="1:7">
      <c r="A104" s="16" t="s">
        <v>237</v>
      </c>
      <c r="G104" s="16" t="s">
        <v>248</v>
      </c>
    </row>
    <row r="105" spans="1:7">
      <c r="A105" s="16" t="s">
        <v>238</v>
      </c>
      <c r="G105" s="16" t="s">
        <v>249</v>
      </c>
    </row>
    <row r="106" spans="1:7">
      <c r="A106" s="16" t="s">
        <v>239</v>
      </c>
      <c r="G106" s="16" t="s">
        <v>250</v>
      </c>
    </row>
    <row r="107" spans="1:7">
      <c r="A107" s="16" t="s">
        <v>240</v>
      </c>
      <c r="G107" s="16" t="s">
        <v>251</v>
      </c>
    </row>
  </sheetData>
  <mergeCells count="1">
    <mergeCell ref="A96:K9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C595B-AC13-4C7D-AD27-19B397E4EA6E}">
  <sheetPr codeName="Лист9">
    <tabColor rgb="FFFFFF00"/>
  </sheetPr>
  <dimension ref="A1:I57"/>
  <sheetViews>
    <sheetView topLeftCell="A21" workbookViewId="0">
      <selection activeCell="A35" sqref="A35:O55"/>
    </sheetView>
  </sheetViews>
  <sheetFormatPr defaultRowHeight="15"/>
  <cols>
    <col min="1" max="16384" width="9.140625" style="6"/>
  </cols>
  <sheetData>
    <row r="1" spans="1:9" ht="18.75">
      <c r="A1" s="4" t="s">
        <v>3091</v>
      </c>
    </row>
    <row r="2" spans="1:9">
      <c r="A2" s="14" t="s">
        <v>2405</v>
      </c>
    </row>
    <row r="3" spans="1:9">
      <c r="A3" s="3" t="s">
        <v>3092</v>
      </c>
      <c r="E3" s="3" t="s">
        <v>3105</v>
      </c>
      <c r="I3" s="3" t="s">
        <v>3118</v>
      </c>
    </row>
    <row r="4" spans="1:9">
      <c r="A4" s="5" t="s">
        <v>3093</v>
      </c>
      <c r="E4" s="5" t="s">
        <v>3106</v>
      </c>
      <c r="I4" s="5" t="s">
        <v>3119</v>
      </c>
    </row>
    <row r="5" spans="1:9">
      <c r="A5" s="5" t="s">
        <v>3094</v>
      </c>
      <c r="E5" s="5" t="s">
        <v>3107</v>
      </c>
      <c r="I5" s="5" t="s">
        <v>3120</v>
      </c>
    </row>
    <row r="6" spans="1:9">
      <c r="A6" s="5" t="s">
        <v>3095</v>
      </c>
      <c r="E6" s="5" t="s">
        <v>3108</v>
      </c>
      <c r="I6" s="5" t="s">
        <v>3121</v>
      </c>
    </row>
    <row r="7" spans="1:9">
      <c r="A7" s="5" t="s">
        <v>3096</v>
      </c>
      <c r="E7" s="5" t="s">
        <v>3109</v>
      </c>
      <c r="I7" s="5" t="s">
        <v>3122</v>
      </c>
    </row>
    <row r="8" spans="1:9">
      <c r="A8" s="5" t="s">
        <v>3097</v>
      </c>
      <c r="E8" s="5" t="s">
        <v>3110</v>
      </c>
      <c r="I8" s="5" t="s">
        <v>3123</v>
      </c>
    </row>
    <row r="9" spans="1:9">
      <c r="A9" s="5" t="s">
        <v>3098</v>
      </c>
      <c r="E9" s="5" t="s">
        <v>3111</v>
      </c>
      <c r="I9" s="5" t="s">
        <v>3124</v>
      </c>
    </row>
    <row r="10" spans="1:9">
      <c r="A10" s="5" t="s">
        <v>3099</v>
      </c>
      <c r="E10" s="5" t="s">
        <v>3112</v>
      </c>
      <c r="I10" s="5" t="s">
        <v>3125</v>
      </c>
    </row>
    <row r="11" spans="1:9">
      <c r="A11" s="5" t="s">
        <v>3100</v>
      </c>
      <c r="E11" s="5" t="s">
        <v>3113</v>
      </c>
      <c r="I11" s="5" t="s">
        <v>3126</v>
      </c>
    </row>
    <row r="12" spans="1:9">
      <c r="A12" s="5" t="s">
        <v>3101</v>
      </c>
      <c r="E12" s="5" t="s">
        <v>3114</v>
      </c>
      <c r="I12" s="5" t="s">
        <v>3127</v>
      </c>
    </row>
    <row r="13" spans="1:9">
      <c r="A13" s="5" t="s">
        <v>3102</v>
      </c>
      <c r="E13" s="5" t="s">
        <v>3115</v>
      </c>
      <c r="I13" s="5" t="s">
        <v>3128</v>
      </c>
    </row>
    <row r="14" spans="1:9">
      <c r="A14" s="5" t="s">
        <v>3103</v>
      </c>
      <c r="E14" s="5" t="s">
        <v>3116</v>
      </c>
      <c r="I14" s="5" t="s">
        <v>3129</v>
      </c>
    </row>
    <row r="15" spans="1:9">
      <c r="A15" s="5" t="s">
        <v>3104</v>
      </c>
      <c r="E15" s="5" t="s">
        <v>3117</v>
      </c>
      <c r="I15" s="5" t="s">
        <v>3130</v>
      </c>
    </row>
    <row r="17" spans="1:9">
      <c r="A17" s="3" t="s">
        <v>3131</v>
      </c>
      <c r="E17" s="3" t="s">
        <v>3144</v>
      </c>
      <c r="I17" s="3" t="s">
        <v>3157</v>
      </c>
    </row>
    <row r="18" spans="1:9">
      <c r="A18" s="5" t="s">
        <v>3132</v>
      </c>
      <c r="E18" s="5" t="s">
        <v>3145</v>
      </c>
      <c r="I18" s="5" t="s">
        <v>3158</v>
      </c>
    </row>
    <row r="19" spans="1:9">
      <c r="A19" s="5" t="s">
        <v>3133</v>
      </c>
      <c r="E19" s="5" t="s">
        <v>3146</v>
      </c>
      <c r="I19" s="5" t="s">
        <v>3159</v>
      </c>
    </row>
    <row r="20" spans="1:9">
      <c r="A20" s="5" t="s">
        <v>3134</v>
      </c>
      <c r="E20" s="5" t="s">
        <v>3147</v>
      </c>
      <c r="I20" s="5" t="s">
        <v>3160</v>
      </c>
    </row>
    <row r="21" spans="1:9">
      <c r="A21" s="5" t="s">
        <v>3135</v>
      </c>
      <c r="E21" s="5" t="s">
        <v>3148</v>
      </c>
      <c r="I21" s="5" t="s">
        <v>3161</v>
      </c>
    </row>
    <row r="22" spans="1:9">
      <c r="A22" s="5" t="s">
        <v>3136</v>
      </c>
      <c r="E22" s="5" t="s">
        <v>3149</v>
      </c>
      <c r="I22" s="5" t="s">
        <v>3162</v>
      </c>
    </row>
    <row r="23" spans="1:9">
      <c r="A23" s="5" t="s">
        <v>3137</v>
      </c>
      <c r="E23" s="5" t="s">
        <v>3150</v>
      </c>
      <c r="I23" s="5" t="s">
        <v>3163</v>
      </c>
    </row>
    <row r="24" spans="1:9">
      <c r="A24" s="5" t="s">
        <v>3138</v>
      </c>
      <c r="E24" s="5" t="s">
        <v>3151</v>
      </c>
      <c r="I24" s="5" t="s">
        <v>3164</v>
      </c>
    </row>
    <row r="25" spans="1:9">
      <c r="A25" s="5" t="s">
        <v>3139</v>
      </c>
      <c r="E25" s="5" t="s">
        <v>3152</v>
      </c>
      <c r="I25" s="5" t="s">
        <v>3165</v>
      </c>
    </row>
    <row r="26" spans="1:9">
      <c r="A26" s="5" t="s">
        <v>3140</v>
      </c>
      <c r="E26" s="5" t="s">
        <v>3153</v>
      </c>
      <c r="I26" s="5" t="s">
        <v>3166</v>
      </c>
    </row>
    <row r="27" spans="1:9">
      <c r="A27" s="5" t="s">
        <v>3141</v>
      </c>
      <c r="E27" s="5" t="s">
        <v>3154</v>
      </c>
      <c r="I27" s="5" t="s">
        <v>3167</v>
      </c>
    </row>
    <row r="28" spans="1:9">
      <c r="A28" s="5" t="s">
        <v>3142</v>
      </c>
      <c r="E28" s="5" t="s">
        <v>3155</v>
      </c>
      <c r="I28" s="5" t="s">
        <v>3168</v>
      </c>
    </row>
    <row r="29" spans="1:9">
      <c r="A29" s="5" t="s">
        <v>3143</v>
      </c>
      <c r="E29" s="5" t="s">
        <v>3156</v>
      </c>
      <c r="I29" s="5" t="s">
        <v>3169</v>
      </c>
    </row>
    <row r="31" spans="1:9">
      <c r="A31" s="3" t="s">
        <v>3170</v>
      </c>
      <c r="E31" s="3" t="s">
        <v>3183</v>
      </c>
      <c r="I31" s="3" t="s">
        <v>3196</v>
      </c>
    </row>
    <row r="32" spans="1:9">
      <c r="A32" s="5" t="s">
        <v>3171</v>
      </c>
      <c r="E32" s="5" t="s">
        <v>3184</v>
      </c>
      <c r="I32" s="5" t="s">
        <v>3197</v>
      </c>
    </row>
    <row r="33" spans="1:9">
      <c r="A33" s="5" t="s">
        <v>3172</v>
      </c>
      <c r="E33" s="5" t="s">
        <v>3185</v>
      </c>
      <c r="I33" s="5" t="s">
        <v>3198</v>
      </c>
    </row>
    <row r="34" spans="1:9">
      <c r="A34" s="5" t="s">
        <v>3173</v>
      </c>
      <c r="E34" s="5" t="s">
        <v>3186</v>
      </c>
      <c r="I34" s="5" t="s">
        <v>3199</v>
      </c>
    </row>
    <row r="35" spans="1:9">
      <c r="A35" s="5" t="s">
        <v>3174</v>
      </c>
      <c r="E35" s="5" t="s">
        <v>3187</v>
      </c>
      <c r="I35" s="5" t="s">
        <v>3200</v>
      </c>
    </row>
    <row r="36" spans="1:9">
      <c r="A36" s="5" t="s">
        <v>3175</v>
      </c>
      <c r="E36" s="5" t="s">
        <v>3188</v>
      </c>
      <c r="I36" s="5" t="s">
        <v>3201</v>
      </c>
    </row>
    <row r="37" spans="1:9">
      <c r="A37" s="5" t="s">
        <v>3176</v>
      </c>
      <c r="E37" s="5" t="s">
        <v>3189</v>
      </c>
      <c r="I37" s="5" t="s">
        <v>3202</v>
      </c>
    </row>
    <row r="38" spans="1:9">
      <c r="A38" s="5" t="s">
        <v>3177</v>
      </c>
      <c r="E38" s="5" t="s">
        <v>3190</v>
      </c>
      <c r="I38" s="5" t="s">
        <v>3203</v>
      </c>
    </row>
    <row r="39" spans="1:9">
      <c r="A39" s="5" t="s">
        <v>3178</v>
      </c>
      <c r="E39" s="5" t="s">
        <v>3191</v>
      </c>
      <c r="I39" s="5" t="s">
        <v>3204</v>
      </c>
    </row>
    <row r="40" spans="1:9">
      <c r="A40" s="5" t="s">
        <v>3179</v>
      </c>
      <c r="E40" s="5" t="s">
        <v>3192</v>
      </c>
      <c r="I40" s="5" t="s">
        <v>3205</v>
      </c>
    </row>
    <row r="41" spans="1:9">
      <c r="A41" s="5" t="s">
        <v>3180</v>
      </c>
      <c r="E41" s="5" t="s">
        <v>3193</v>
      </c>
      <c r="I41" s="5" t="s">
        <v>3206</v>
      </c>
    </row>
    <row r="42" spans="1:9">
      <c r="A42" s="5" t="s">
        <v>3181</v>
      </c>
      <c r="E42" s="5" t="s">
        <v>3194</v>
      </c>
      <c r="I42" s="5" t="s">
        <v>3207</v>
      </c>
    </row>
    <row r="43" spans="1:9">
      <c r="A43" s="5" t="s">
        <v>3182</v>
      </c>
      <c r="E43" s="5" t="s">
        <v>3195</v>
      </c>
      <c r="I43" s="5" t="s">
        <v>3208</v>
      </c>
    </row>
    <row r="45" spans="1:9">
      <c r="A45" s="3" t="s">
        <v>3209</v>
      </c>
    </row>
    <row r="46" spans="1:9">
      <c r="A46" s="5" t="s">
        <v>3210</v>
      </c>
    </row>
    <row r="47" spans="1:9">
      <c r="A47" s="5" t="s">
        <v>3211</v>
      </c>
    </row>
    <row r="48" spans="1:9">
      <c r="A48" s="5" t="s">
        <v>3212</v>
      </c>
    </row>
    <row r="49" spans="1:1">
      <c r="A49" s="5" t="s">
        <v>3213</v>
      </c>
    </row>
    <row r="50" spans="1:1">
      <c r="A50" s="5" t="s">
        <v>3214</v>
      </c>
    </row>
    <row r="51" spans="1:1">
      <c r="A51" s="5" t="s">
        <v>3215</v>
      </c>
    </row>
    <row r="52" spans="1:1">
      <c r="A52" s="5" t="s">
        <v>3216</v>
      </c>
    </row>
    <row r="53" spans="1:1">
      <c r="A53" s="5" t="s">
        <v>3217</v>
      </c>
    </row>
    <row r="54" spans="1:1">
      <c r="A54" s="5" t="s">
        <v>3218</v>
      </c>
    </row>
    <row r="55" spans="1:1">
      <c r="A55" s="5" t="s">
        <v>3219</v>
      </c>
    </row>
    <row r="56" spans="1:1">
      <c r="A56" s="5" t="s">
        <v>3220</v>
      </c>
    </row>
    <row r="57" spans="1:1">
      <c r="A57" s="5" t="s">
        <v>3221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FF410-354D-4ECF-8695-E071A4F37633}">
  <sheetPr codeName="Лист10">
    <tabColor rgb="FFFFFF00"/>
  </sheetPr>
  <dimension ref="A1:I41"/>
  <sheetViews>
    <sheetView workbookViewId="0">
      <selection activeCell="A35" sqref="A35:O55"/>
    </sheetView>
  </sheetViews>
  <sheetFormatPr defaultRowHeight="15"/>
  <cols>
    <col min="1" max="16384" width="9.140625" style="6"/>
  </cols>
  <sheetData>
    <row r="1" spans="1:9">
      <c r="A1" s="3" t="s">
        <v>6782</v>
      </c>
    </row>
    <row r="3" spans="1:9">
      <c r="A3" s="3" t="s">
        <v>3901</v>
      </c>
    </row>
    <row r="4" spans="1:9">
      <c r="A4" s="5" t="s">
        <v>3902</v>
      </c>
    </row>
    <row r="5" spans="1:9">
      <c r="A5" s="5" t="s">
        <v>3903</v>
      </c>
    </row>
    <row r="6" spans="1:9">
      <c r="A6" s="5"/>
    </row>
    <row r="7" spans="1:9">
      <c r="A7" s="3" t="s">
        <v>3904</v>
      </c>
      <c r="E7" s="3" t="s">
        <v>3915</v>
      </c>
      <c r="I7" s="3" t="s">
        <v>3926</v>
      </c>
    </row>
    <row r="8" spans="1:9">
      <c r="A8" s="5" t="s">
        <v>3905</v>
      </c>
      <c r="E8" s="5" t="s">
        <v>3916</v>
      </c>
      <c r="I8" s="5" t="s">
        <v>3927</v>
      </c>
    </row>
    <row r="9" spans="1:9">
      <c r="A9" s="5" t="s">
        <v>3906</v>
      </c>
      <c r="E9" s="5" t="s">
        <v>3917</v>
      </c>
      <c r="I9" s="5" t="s">
        <v>3928</v>
      </c>
    </row>
    <row r="10" spans="1:9">
      <c r="A10" s="5" t="s">
        <v>3907</v>
      </c>
      <c r="E10" s="5" t="s">
        <v>3918</v>
      </c>
      <c r="I10" s="5" t="s">
        <v>3929</v>
      </c>
    </row>
    <row r="11" spans="1:9">
      <c r="A11" s="5" t="s">
        <v>3908</v>
      </c>
      <c r="E11" s="5" t="s">
        <v>3919</v>
      </c>
      <c r="I11" s="5" t="s">
        <v>3930</v>
      </c>
    </row>
    <row r="12" spans="1:9">
      <c r="A12" s="5" t="s">
        <v>3909</v>
      </c>
      <c r="E12" s="5" t="s">
        <v>3920</v>
      </c>
      <c r="I12" s="5" t="s">
        <v>3931</v>
      </c>
    </row>
    <row r="13" spans="1:9">
      <c r="A13" s="5" t="s">
        <v>3910</v>
      </c>
      <c r="E13" s="5" t="s">
        <v>3921</v>
      </c>
      <c r="I13" s="5" t="s">
        <v>3932</v>
      </c>
    </row>
    <row r="14" spans="1:9">
      <c r="A14" s="5" t="s">
        <v>3911</v>
      </c>
      <c r="E14" s="5" t="s">
        <v>3922</v>
      </c>
      <c r="I14" s="5" t="s">
        <v>3933</v>
      </c>
    </row>
    <row r="15" spans="1:9">
      <c r="A15" s="5" t="s">
        <v>3912</v>
      </c>
      <c r="E15" s="5" t="s">
        <v>3923</v>
      </c>
      <c r="I15" s="5" t="s">
        <v>3934</v>
      </c>
    </row>
    <row r="16" spans="1:9">
      <c r="A16" s="5" t="s">
        <v>3913</v>
      </c>
      <c r="E16" s="5" t="s">
        <v>3924</v>
      </c>
      <c r="I16" s="5" t="s">
        <v>3935</v>
      </c>
    </row>
    <row r="17" spans="1:9">
      <c r="A17" s="5" t="s">
        <v>3914</v>
      </c>
      <c r="E17" s="5" t="s">
        <v>3925</v>
      </c>
      <c r="I17" s="5" t="s">
        <v>3936</v>
      </c>
    </row>
    <row r="19" spans="1:9">
      <c r="A19" s="3" t="s">
        <v>3937</v>
      </c>
      <c r="E19" s="3" t="s">
        <v>3948</v>
      </c>
      <c r="I19" s="3" t="s">
        <v>3959</v>
      </c>
    </row>
    <row r="20" spans="1:9">
      <c r="A20" s="5" t="s">
        <v>3938</v>
      </c>
      <c r="E20" s="5" t="s">
        <v>3949</v>
      </c>
      <c r="I20" s="5" t="s">
        <v>3960</v>
      </c>
    </row>
    <row r="21" spans="1:9">
      <c r="A21" s="5" t="s">
        <v>3939</v>
      </c>
      <c r="E21" s="5" t="s">
        <v>3950</v>
      </c>
      <c r="I21" s="5" t="s">
        <v>3961</v>
      </c>
    </row>
    <row r="22" spans="1:9">
      <c r="A22" s="5" t="s">
        <v>3940</v>
      </c>
      <c r="E22" s="5" t="s">
        <v>3951</v>
      </c>
      <c r="I22" s="5" t="s">
        <v>3962</v>
      </c>
    </row>
    <row r="23" spans="1:9">
      <c r="A23" s="5" t="s">
        <v>3941</v>
      </c>
      <c r="E23" s="5" t="s">
        <v>3952</v>
      </c>
      <c r="I23" s="5" t="s">
        <v>3963</v>
      </c>
    </row>
    <row r="24" spans="1:9">
      <c r="A24" s="5" t="s">
        <v>3942</v>
      </c>
      <c r="E24" s="5" t="s">
        <v>3953</v>
      </c>
      <c r="I24" s="5" t="s">
        <v>3964</v>
      </c>
    </row>
    <row r="25" spans="1:9">
      <c r="A25" s="5" t="s">
        <v>3943</v>
      </c>
      <c r="E25" s="5" t="s">
        <v>3954</v>
      </c>
      <c r="I25" s="5" t="s">
        <v>3965</v>
      </c>
    </row>
    <row r="26" spans="1:9">
      <c r="A26" s="5" t="s">
        <v>3944</v>
      </c>
      <c r="E26" s="5" t="s">
        <v>3955</v>
      </c>
      <c r="I26" s="5" t="s">
        <v>3966</v>
      </c>
    </row>
    <row r="27" spans="1:9">
      <c r="A27" s="5" t="s">
        <v>3945</v>
      </c>
      <c r="E27" s="5" t="s">
        <v>3956</v>
      </c>
      <c r="I27" s="5" t="s">
        <v>3967</v>
      </c>
    </row>
    <row r="28" spans="1:9">
      <c r="A28" s="5" t="s">
        <v>3946</v>
      </c>
      <c r="E28" s="5" t="s">
        <v>3957</v>
      </c>
      <c r="I28" s="5" t="s">
        <v>3968</v>
      </c>
    </row>
    <row r="29" spans="1:9">
      <c r="A29" s="5" t="s">
        <v>3947</v>
      </c>
      <c r="E29" s="5" t="s">
        <v>3958</v>
      </c>
      <c r="I29" s="5" t="s">
        <v>3969</v>
      </c>
    </row>
    <row r="31" spans="1:9">
      <c r="A31" s="3" t="s">
        <v>3970</v>
      </c>
    </row>
    <row r="32" spans="1:9">
      <c r="A32" s="5" t="s">
        <v>3971</v>
      </c>
    </row>
    <row r="33" spans="1:1">
      <c r="A33" s="5" t="s">
        <v>3972</v>
      </c>
    </row>
    <row r="34" spans="1:1">
      <c r="A34" s="5" t="s">
        <v>3973</v>
      </c>
    </row>
    <row r="35" spans="1:1">
      <c r="A35" s="5" t="s">
        <v>3974</v>
      </c>
    </row>
    <row r="36" spans="1:1">
      <c r="A36" s="5" t="s">
        <v>3975</v>
      </c>
    </row>
    <row r="37" spans="1:1">
      <c r="A37" s="5" t="s">
        <v>3976</v>
      </c>
    </row>
    <row r="38" spans="1:1">
      <c r="A38" s="5" t="s">
        <v>3977</v>
      </c>
    </row>
    <row r="39" spans="1:1">
      <c r="A39" s="5" t="s">
        <v>3978</v>
      </c>
    </row>
    <row r="40" spans="1:1">
      <c r="A40" s="5" t="s">
        <v>3979</v>
      </c>
    </row>
    <row r="41" spans="1:1">
      <c r="A41" s="5" t="s">
        <v>3980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5C6FA-16E7-4475-A5FA-4D59826B7AFF}">
  <sheetPr codeName="Лист12">
    <tabColor rgb="FFFFFF00"/>
  </sheetPr>
  <dimension ref="A1:M77"/>
  <sheetViews>
    <sheetView workbookViewId="0">
      <selection activeCell="I13" sqref="I13"/>
    </sheetView>
  </sheetViews>
  <sheetFormatPr defaultRowHeight="15"/>
  <cols>
    <col min="1" max="1" width="9.140625" style="6" customWidth="1"/>
    <col min="2" max="16384" width="9.140625" style="6"/>
  </cols>
  <sheetData>
    <row r="1" spans="1:5" ht="18.75">
      <c r="A1" s="4" t="s">
        <v>320</v>
      </c>
    </row>
    <row r="2" spans="1:5">
      <c r="A2" s="14" t="s">
        <v>321</v>
      </c>
    </row>
    <row r="3" spans="1:5">
      <c r="A3" s="14"/>
    </row>
    <row r="4" spans="1:5">
      <c r="A4" s="3" t="s">
        <v>322</v>
      </c>
      <c r="E4" s="3" t="s">
        <v>380</v>
      </c>
    </row>
    <row r="5" spans="1:5">
      <c r="A5" s="5" t="s">
        <v>323</v>
      </c>
      <c r="E5" s="5" t="s">
        <v>381</v>
      </c>
    </row>
    <row r="6" spans="1:5">
      <c r="A6" s="5" t="s">
        <v>324</v>
      </c>
      <c r="E6" s="5" t="s">
        <v>382</v>
      </c>
    </row>
    <row r="7" spans="1:5">
      <c r="A7" s="5" t="s">
        <v>325</v>
      </c>
      <c r="E7" s="5" t="s">
        <v>383</v>
      </c>
    </row>
    <row r="8" spans="1:5">
      <c r="A8" s="5" t="s">
        <v>326</v>
      </c>
      <c r="E8" s="5" t="s">
        <v>384</v>
      </c>
    </row>
    <row r="9" spans="1:5">
      <c r="A9" s="5" t="s">
        <v>327</v>
      </c>
      <c r="E9" s="5" t="s">
        <v>385</v>
      </c>
    </row>
    <row r="10" spans="1:5">
      <c r="A10" s="5" t="s">
        <v>328</v>
      </c>
      <c r="E10" s="5" t="s">
        <v>386</v>
      </c>
    </row>
    <row r="11" spans="1:5">
      <c r="A11" s="5"/>
      <c r="E11" s="5" t="s">
        <v>387</v>
      </c>
    </row>
    <row r="12" spans="1:5">
      <c r="A12" s="3" t="s">
        <v>350</v>
      </c>
      <c r="E12" s="5" t="s">
        <v>388</v>
      </c>
    </row>
    <row r="13" spans="1:5">
      <c r="A13" s="5" t="s">
        <v>351</v>
      </c>
      <c r="E13" s="5" t="s">
        <v>389</v>
      </c>
    </row>
    <row r="14" spans="1:5">
      <c r="A14" s="5" t="s">
        <v>352</v>
      </c>
      <c r="E14" s="5" t="s">
        <v>390</v>
      </c>
    </row>
    <row r="15" spans="1:5">
      <c r="A15" s="5" t="s">
        <v>353</v>
      </c>
      <c r="E15" s="5" t="s">
        <v>391</v>
      </c>
    </row>
    <row r="16" spans="1:5">
      <c r="A16" s="5" t="s">
        <v>354</v>
      </c>
      <c r="E16" s="5" t="s">
        <v>392</v>
      </c>
    </row>
    <row r="17" spans="1:13">
      <c r="A17" s="5" t="s">
        <v>355</v>
      </c>
    </row>
    <row r="18" spans="1:13">
      <c r="A18" s="5" t="s">
        <v>356</v>
      </c>
    </row>
    <row r="19" spans="1:13">
      <c r="A19" s="5" t="s">
        <v>357</v>
      </c>
    </row>
    <row r="20" spans="1:13">
      <c r="A20" s="5" t="s">
        <v>358</v>
      </c>
    </row>
    <row r="21" spans="1:13">
      <c r="A21" s="5"/>
    </row>
    <row r="22" spans="1:13">
      <c r="A22" s="3" t="s">
        <v>359</v>
      </c>
      <c r="E22" s="3" t="s">
        <v>329</v>
      </c>
      <c r="I22" s="3" t="s">
        <v>393</v>
      </c>
      <c r="M22" s="3" t="s">
        <v>422</v>
      </c>
    </row>
    <row r="23" spans="1:13">
      <c r="A23" s="5" t="s">
        <v>360</v>
      </c>
      <c r="E23" s="5" t="s">
        <v>330</v>
      </c>
      <c r="I23" s="5" t="s">
        <v>394</v>
      </c>
      <c r="M23" s="5" t="s">
        <v>423</v>
      </c>
    </row>
    <row r="24" spans="1:13">
      <c r="A24" s="5" t="s">
        <v>361</v>
      </c>
      <c r="E24" s="5" t="s">
        <v>331</v>
      </c>
      <c r="I24" s="5" t="s">
        <v>395</v>
      </c>
      <c r="M24" s="5" t="s">
        <v>424</v>
      </c>
    </row>
    <row r="25" spans="1:13">
      <c r="A25" s="5" t="s">
        <v>362</v>
      </c>
      <c r="E25" s="5" t="s">
        <v>332</v>
      </c>
      <c r="I25" s="5" t="s">
        <v>396</v>
      </c>
      <c r="M25" s="5" t="s">
        <v>425</v>
      </c>
    </row>
    <row r="26" spans="1:13">
      <c r="A26" s="5" t="s">
        <v>363</v>
      </c>
      <c r="E26" s="5" t="s">
        <v>333</v>
      </c>
      <c r="I26" s="5" t="s">
        <v>397</v>
      </c>
      <c r="M26" s="5" t="s">
        <v>426</v>
      </c>
    </row>
    <row r="27" spans="1:13">
      <c r="A27" s="5" t="s">
        <v>364</v>
      </c>
      <c r="E27" s="5" t="s">
        <v>334</v>
      </c>
      <c r="I27" s="5" t="s">
        <v>398</v>
      </c>
      <c r="M27" s="5" t="s">
        <v>427</v>
      </c>
    </row>
    <row r="28" spans="1:13">
      <c r="A28" s="5" t="s">
        <v>365</v>
      </c>
      <c r="E28" s="5" t="s">
        <v>335</v>
      </c>
      <c r="I28" s="5" t="s">
        <v>399</v>
      </c>
      <c r="M28" s="5" t="s">
        <v>428</v>
      </c>
    </row>
    <row r="29" spans="1:13">
      <c r="A29" s="5" t="s">
        <v>366</v>
      </c>
      <c r="E29" s="5" t="s">
        <v>336</v>
      </c>
      <c r="I29" s="5" t="s">
        <v>400</v>
      </c>
      <c r="M29" s="5" t="s">
        <v>429</v>
      </c>
    </row>
    <row r="30" spans="1:13">
      <c r="A30" s="5" t="s">
        <v>367</v>
      </c>
      <c r="E30" s="5" t="s">
        <v>337</v>
      </c>
      <c r="I30" s="5" t="s">
        <v>401</v>
      </c>
      <c r="M30" s="5" t="s">
        <v>430</v>
      </c>
    </row>
    <row r="31" spans="1:13">
      <c r="A31" s="5" t="s">
        <v>368</v>
      </c>
      <c r="E31" s="5" t="s">
        <v>338</v>
      </c>
      <c r="I31" s="5" t="s">
        <v>402</v>
      </c>
      <c r="M31" s="5" t="s">
        <v>431</v>
      </c>
    </row>
    <row r="32" spans="1:13">
      <c r="A32" s="5" t="s">
        <v>369</v>
      </c>
      <c r="E32" s="5" t="s">
        <v>339</v>
      </c>
      <c r="I32" s="5" t="s">
        <v>403</v>
      </c>
      <c r="M32" s="5" t="s">
        <v>432</v>
      </c>
    </row>
    <row r="33" spans="1:13">
      <c r="A33" s="5" t="s">
        <v>370</v>
      </c>
      <c r="E33" s="5" t="s">
        <v>340</v>
      </c>
    </row>
    <row r="34" spans="1:13">
      <c r="A34" s="5" t="s">
        <v>371</v>
      </c>
      <c r="E34" s="5" t="s">
        <v>341</v>
      </c>
      <c r="I34" s="3" t="s">
        <v>404</v>
      </c>
      <c r="M34" s="3" t="s">
        <v>413</v>
      </c>
    </row>
    <row r="35" spans="1:13">
      <c r="A35" s="5" t="s">
        <v>372</v>
      </c>
      <c r="E35" s="5" t="s">
        <v>342</v>
      </c>
      <c r="I35" s="5" t="s">
        <v>405</v>
      </c>
      <c r="M35" s="5" t="s">
        <v>414</v>
      </c>
    </row>
    <row r="36" spans="1:13">
      <c r="A36" s="5" t="s">
        <v>373</v>
      </c>
      <c r="E36" s="5" t="s">
        <v>343</v>
      </c>
      <c r="I36" s="5" t="s">
        <v>406</v>
      </c>
      <c r="M36" s="5" t="s">
        <v>415</v>
      </c>
    </row>
    <row r="37" spans="1:13">
      <c r="A37" s="5" t="s">
        <v>374</v>
      </c>
      <c r="E37" s="5" t="s">
        <v>344</v>
      </c>
      <c r="I37" s="5" t="s">
        <v>407</v>
      </c>
      <c r="M37" s="5" t="s">
        <v>416</v>
      </c>
    </row>
    <row r="38" spans="1:13">
      <c r="A38" s="5" t="s">
        <v>375</v>
      </c>
      <c r="E38" s="5" t="s">
        <v>345</v>
      </c>
      <c r="I38" s="5" t="s">
        <v>408</v>
      </c>
      <c r="M38" s="5" t="s">
        <v>417</v>
      </c>
    </row>
    <row r="39" spans="1:13">
      <c r="A39" s="5" t="s">
        <v>376</v>
      </c>
      <c r="E39" s="5" t="s">
        <v>346</v>
      </c>
      <c r="I39" s="5" t="s">
        <v>409</v>
      </c>
      <c r="M39" s="5" t="s">
        <v>418</v>
      </c>
    </row>
    <row r="40" spans="1:13">
      <c r="A40" s="5" t="s">
        <v>377</v>
      </c>
      <c r="E40" s="5" t="s">
        <v>347</v>
      </c>
      <c r="I40" s="5" t="s">
        <v>410</v>
      </c>
      <c r="M40" s="5" t="s">
        <v>419</v>
      </c>
    </row>
    <row r="41" spans="1:13">
      <c r="A41" s="5" t="s">
        <v>378</v>
      </c>
      <c r="E41" s="5" t="s">
        <v>348</v>
      </c>
      <c r="I41" s="5" t="s">
        <v>411</v>
      </c>
      <c r="M41" s="5" t="s">
        <v>420</v>
      </c>
    </row>
    <row r="42" spans="1:13">
      <c r="A42" s="5" t="s">
        <v>379</v>
      </c>
      <c r="E42" s="5" t="s">
        <v>349</v>
      </c>
      <c r="I42" s="5" t="s">
        <v>412</v>
      </c>
      <c r="M42" s="5" t="s">
        <v>421</v>
      </c>
    </row>
    <row r="43" spans="1:13">
      <c r="A43" s="5"/>
    </row>
    <row r="57" spans="1:1">
      <c r="A57" s="5"/>
    </row>
    <row r="67" spans="1:1">
      <c r="A67" s="5"/>
    </row>
    <row r="77" spans="1:1">
      <c r="A77"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A2C51-27AB-4960-A3AB-76B523356CDA}">
  <sheetPr codeName="Лист13">
    <tabColor rgb="FFFFFF00"/>
  </sheetPr>
  <dimension ref="A1:I77"/>
  <sheetViews>
    <sheetView topLeftCell="A25" workbookViewId="0">
      <selection activeCell="O45" sqref="O45"/>
    </sheetView>
  </sheetViews>
  <sheetFormatPr defaultRowHeight="15"/>
  <cols>
    <col min="1" max="1" width="9.140625" customWidth="1"/>
  </cols>
  <sheetData>
    <row r="1" spans="1:9">
      <c r="A1" t="s">
        <v>628</v>
      </c>
    </row>
    <row r="2" spans="1:9">
      <c r="A2" t="s">
        <v>629</v>
      </c>
    </row>
    <row r="4" spans="1:9">
      <c r="A4" t="s">
        <v>630</v>
      </c>
      <c r="E4" t="s">
        <v>648</v>
      </c>
      <c r="I4" t="s">
        <v>670</v>
      </c>
    </row>
    <row r="5" spans="1:9">
      <c r="A5" t="s">
        <v>631</v>
      </c>
      <c r="E5" t="s">
        <v>649</v>
      </c>
      <c r="I5" t="s">
        <v>671</v>
      </c>
    </row>
    <row r="6" spans="1:9">
      <c r="A6" t="s">
        <v>632</v>
      </c>
      <c r="E6" t="s">
        <v>650</v>
      </c>
      <c r="I6" t="s">
        <v>672</v>
      </c>
    </row>
    <row r="7" spans="1:9">
      <c r="A7" t="s">
        <v>633</v>
      </c>
      <c r="E7" t="s">
        <v>651</v>
      </c>
      <c r="I7" t="s">
        <v>673</v>
      </c>
    </row>
    <row r="8" spans="1:9">
      <c r="A8" t="s">
        <v>634</v>
      </c>
      <c r="E8" t="s">
        <v>652</v>
      </c>
      <c r="I8" t="s">
        <v>674</v>
      </c>
    </row>
    <row r="9" spans="1:9">
      <c r="A9" t="s">
        <v>635</v>
      </c>
      <c r="E9" t="s">
        <v>653</v>
      </c>
      <c r="I9" t="s">
        <v>675</v>
      </c>
    </row>
    <row r="10" spans="1:9">
      <c r="A10" t="s">
        <v>636</v>
      </c>
      <c r="E10" t="s">
        <v>654</v>
      </c>
    </row>
    <row r="11" spans="1:9">
      <c r="A11" t="s">
        <v>637</v>
      </c>
      <c r="E11" t="s">
        <v>655</v>
      </c>
    </row>
    <row r="13" spans="1:9">
      <c r="A13" t="s">
        <v>638</v>
      </c>
      <c r="E13" t="s">
        <v>656</v>
      </c>
      <c r="I13" t="s">
        <v>676</v>
      </c>
    </row>
    <row r="14" spans="1:9">
      <c r="A14" t="s">
        <v>639</v>
      </c>
      <c r="E14" t="s">
        <v>657</v>
      </c>
      <c r="I14" t="s">
        <v>677</v>
      </c>
    </row>
    <row r="15" spans="1:9">
      <c r="A15" t="s">
        <v>640</v>
      </c>
      <c r="E15" t="s">
        <v>658</v>
      </c>
      <c r="I15" t="s">
        <v>678</v>
      </c>
    </row>
    <row r="16" spans="1:9">
      <c r="A16" t="s">
        <v>641</v>
      </c>
      <c r="E16" t="s">
        <v>659</v>
      </c>
      <c r="I16" t="s">
        <v>679</v>
      </c>
    </row>
    <row r="17" spans="1:9">
      <c r="E17" t="s">
        <v>660</v>
      </c>
      <c r="I17" t="s">
        <v>680</v>
      </c>
    </row>
    <row r="18" spans="1:9">
      <c r="E18" t="s">
        <v>661</v>
      </c>
      <c r="I18" t="s">
        <v>681</v>
      </c>
    </row>
    <row r="19" spans="1:9">
      <c r="E19" t="s">
        <v>662</v>
      </c>
      <c r="I19" t="s">
        <v>682</v>
      </c>
    </row>
    <row r="21" spans="1:9">
      <c r="A21" t="s">
        <v>642</v>
      </c>
      <c r="E21" t="s">
        <v>663</v>
      </c>
      <c r="I21" t="s">
        <v>683</v>
      </c>
    </row>
    <row r="22" spans="1:9">
      <c r="A22" t="s">
        <v>643</v>
      </c>
      <c r="E22" t="s">
        <v>664</v>
      </c>
      <c r="I22" t="s">
        <v>684</v>
      </c>
    </row>
    <row r="23" spans="1:9">
      <c r="A23" t="s">
        <v>644</v>
      </c>
      <c r="E23" t="s">
        <v>665</v>
      </c>
      <c r="I23" t="s">
        <v>685</v>
      </c>
    </row>
    <row r="24" spans="1:9">
      <c r="A24" t="s">
        <v>645</v>
      </c>
      <c r="E24" t="s">
        <v>666</v>
      </c>
      <c r="I24" t="s">
        <v>686</v>
      </c>
    </row>
    <row r="25" spans="1:9">
      <c r="A25" t="s">
        <v>646</v>
      </c>
      <c r="E25" t="s">
        <v>667</v>
      </c>
      <c r="I25" t="s">
        <v>687</v>
      </c>
    </row>
    <row r="26" spans="1:9">
      <c r="A26" t="s">
        <v>647</v>
      </c>
      <c r="E26" t="s">
        <v>668</v>
      </c>
    </row>
    <row r="27" spans="1:9">
      <c r="E27" t="s">
        <v>669</v>
      </c>
    </row>
    <row r="29" spans="1:9">
      <c r="A29" t="s">
        <v>688</v>
      </c>
      <c r="E29" t="s">
        <v>701</v>
      </c>
      <c r="I29" t="s">
        <v>715</v>
      </c>
    </row>
    <row r="30" spans="1:9">
      <c r="A30" t="s">
        <v>689</v>
      </c>
      <c r="E30" t="s">
        <v>702</v>
      </c>
      <c r="I30" t="s">
        <v>716</v>
      </c>
    </row>
    <row r="31" spans="1:9">
      <c r="A31" t="s">
        <v>690</v>
      </c>
      <c r="E31" t="s">
        <v>703</v>
      </c>
      <c r="I31" t="s">
        <v>717</v>
      </c>
    </row>
    <row r="32" spans="1:9">
      <c r="A32" t="s">
        <v>691</v>
      </c>
      <c r="E32" t="s">
        <v>704</v>
      </c>
      <c r="I32" t="s">
        <v>718</v>
      </c>
    </row>
    <row r="33" spans="1:9">
      <c r="A33" t="s">
        <v>692</v>
      </c>
      <c r="E33" t="s">
        <v>705</v>
      </c>
      <c r="I33" t="s">
        <v>719</v>
      </c>
    </row>
    <row r="34" spans="1:9">
      <c r="A34" t="s">
        <v>693</v>
      </c>
      <c r="E34" t="s">
        <v>706</v>
      </c>
      <c r="I34" t="s">
        <v>720</v>
      </c>
    </row>
    <row r="35" spans="1:9">
      <c r="A35" t="s">
        <v>694</v>
      </c>
      <c r="E35" t="s">
        <v>707</v>
      </c>
      <c r="I35" t="s">
        <v>721</v>
      </c>
    </row>
    <row r="36" spans="1:9">
      <c r="A36" t="s">
        <v>695</v>
      </c>
      <c r="E36" t="s">
        <v>708</v>
      </c>
      <c r="I36" t="s">
        <v>722</v>
      </c>
    </row>
    <row r="38" spans="1:9">
      <c r="A38" t="s">
        <v>696</v>
      </c>
      <c r="E38" t="s">
        <v>709</v>
      </c>
      <c r="I38" t="s">
        <v>723</v>
      </c>
    </row>
    <row r="39" spans="1:9">
      <c r="A39" t="s">
        <v>252</v>
      </c>
      <c r="E39" t="s">
        <v>710</v>
      </c>
      <c r="I39" t="s">
        <v>724</v>
      </c>
    </row>
    <row r="40" spans="1:9">
      <c r="A40" t="s">
        <v>253</v>
      </c>
      <c r="E40" t="s">
        <v>711</v>
      </c>
      <c r="I40" t="s">
        <v>725</v>
      </c>
    </row>
    <row r="41" spans="1:9">
      <c r="A41" t="s">
        <v>697</v>
      </c>
      <c r="E41" t="s">
        <v>712</v>
      </c>
      <c r="I41" t="s">
        <v>726</v>
      </c>
    </row>
    <row r="42" spans="1:9">
      <c r="A42" t="s">
        <v>254</v>
      </c>
      <c r="E42" t="s">
        <v>295</v>
      </c>
      <c r="I42" t="s">
        <v>727</v>
      </c>
    </row>
    <row r="43" spans="1:9">
      <c r="A43" t="s">
        <v>698</v>
      </c>
    </row>
    <row r="44" spans="1:9">
      <c r="A44" t="s">
        <v>255</v>
      </c>
    </row>
    <row r="46" spans="1:9">
      <c r="A46" t="s">
        <v>699</v>
      </c>
      <c r="E46" t="s">
        <v>713</v>
      </c>
      <c r="I46" t="s">
        <v>728</v>
      </c>
    </row>
    <row r="47" spans="1:9">
      <c r="A47" t="s">
        <v>256</v>
      </c>
      <c r="E47" t="s">
        <v>714</v>
      </c>
      <c r="I47" t="s">
        <v>729</v>
      </c>
    </row>
    <row r="48" spans="1:9">
      <c r="A48" t="s">
        <v>257</v>
      </c>
      <c r="E48" t="s">
        <v>296</v>
      </c>
      <c r="I48" t="s">
        <v>730</v>
      </c>
    </row>
    <row r="49" spans="1:9">
      <c r="A49" t="s">
        <v>258</v>
      </c>
      <c r="E49" t="s">
        <v>297</v>
      </c>
      <c r="I49" t="s">
        <v>731</v>
      </c>
    </row>
    <row r="50" spans="1:9">
      <c r="A50" t="s">
        <v>700</v>
      </c>
      <c r="E50" t="s">
        <v>298</v>
      </c>
      <c r="I50" t="s">
        <v>732</v>
      </c>
    </row>
    <row r="51" spans="1:9">
      <c r="A51" t="s">
        <v>259</v>
      </c>
    </row>
    <row r="52" spans="1:9">
      <c r="A52" t="s">
        <v>260</v>
      </c>
    </row>
    <row r="54" spans="1:9">
      <c r="A54" t="s">
        <v>733</v>
      </c>
      <c r="E54" t="s">
        <v>743</v>
      </c>
      <c r="I54" t="s">
        <v>764</v>
      </c>
    </row>
    <row r="55" spans="1:9">
      <c r="A55" t="s">
        <v>282</v>
      </c>
      <c r="E55" t="s">
        <v>744</v>
      </c>
      <c r="I55" t="s">
        <v>765</v>
      </c>
    </row>
    <row r="56" spans="1:9">
      <c r="A56" t="s">
        <v>734</v>
      </c>
      <c r="E56" t="s">
        <v>745</v>
      </c>
      <c r="I56" t="s">
        <v>766</v>
      </c>
    </row>
    <row r="57" spans="1:9">
      <c r="A57" t="s">
        <v>735</v>
      </c>
      <c r="E57" t="s">
        <v>746</v>
      </c>
      <c r="I57" t="s">
        <v>767</v>
      </c>
    </row>
    <row r="58" spans="1:9">
      <c r="A58" t="s">
        <v>736</v>
      </c>
      <c r="E58" t="s">
        <v>747</v>
      </c>
      <c r="I58" t="s">
        <v>768</v>
      </c>
    </row>
    <row r="59" spans="1:9">
      <c r="A59" t="s">
        <v>737</v>
      </c>
      <c r="E59" t="s">
        <v>748</v>
      </c>
      <c r="I59" t="s">
        <v>769</v>
      </c>
    </row>
    <row r="60" spans="1:9">
      <c r="E60" t="s">
        <v>749</v>
      </c>
      <c r="I60" t="s">
        <v>770</v>
      </c>
    </row>
    <row r="61" spans="1:9">
      <c r="E61" t="s">
        <v>750</v>
      </c>
      <c r="I61" t="s">
        <v>771</v>
      </c>
    </row>
    <row r="62" spans="1:9">
      <c r="E62" t="s">
        <v>751</v>
      </c>
      <c r="I62" t="s">
        <v>772</v>
      </c>
    </row>
    <row r="63" spans="1:9">
      <c r="E63" t="s">
        <v>752</v>
      </c>
      <c r="I63" t="s">
        <v>773</v>
      </c>
    </row>
    <row r="65" spans="1:9">
      <c r="A65" t="s">
        <v>285</v>
      </c>
      <c r="E65" t="s">
        <v>753</v>
      </c>
      <c r="I65" t="s">
        <v>774</v>
      </c>
    </row>
    <row r="66" spans="1:9">
      <c r="A66" t="s">
        <v>738</v>
      </c>
      <c r="E66" t="s">
        <v>754</v>
      </c>
      <c r="I66" t="s">
        <v>775</v>
      </c>
    </row>
    <row r="67" spans="1:9">
      <c r="A67" t="s">
        <v>739</v>
      </c>
      <c r="E67" t="s">
        <v>755</v>
      </c>
      <c r="I67" t="s">
        <v>776</v>
      </c>
    </row>
    <row r="68" spans="1:9">
      <c r="A68" t="s">
        <v>740</v>
      </c>
      <c r="E68" t="s">
        <v>756</v>
      </c>
      <c r="I68" t="s">
        <v>777</v>
      </c>
    </row>
    <row r="69" spans="1:9">
      <c r="A69" t="s">
        <v>287</v>
      </c>
      <c r="E69" t="s">
        <v>757</v>
      </c>
      <c r="I69" t="s">
        <v>778</v>
      </c>
    </row>
    <row r="70" spans="1:9">
      <c r="E70" t="s">
        <v>758</v>
      </c>
      <c r="I70" t="s">
        <v>779</v>
      </c>
    </row>
    <row r="71" spans="1:9">
      <c r="A71" t="s">
        <v>288</v>
      </c>
      <c r="E71" t="s">
        <v>759</v>
      </c>
      <c r="I71" t="s">
        <v>780</v>
      </c>
    </row>
    <row r="72" spans="1:9">
      <c r="A72" t="s">
        <v>289</v>
      </c>
      <c r="E72" t="s">
        <v>760</v>
      </c>
    </row>
    <row r="73" spans="1:9">
      <c r="A73" t="s">
        <v>741</v>
      </c>
      <c r="E73" t="s">
        <v>761</v>
      </c>
      <c r="I73" t="s">
        <v>781</v>
      </c>
    </row>
    <row r="74" spans="1:9">
      <c r="A74" t="s">
        <v>742</v>
      </c>
      <c r="E74" t="s">
        <v>762</v>
      </c>
      <c r="I74" t="s">
        <v>782</v>
      </c>
    </row>
    <row r="75" spans="1:9">
      <c r="A75" t="s">
        <v>290</v>
      </c>
      <c r="E75" t="s">
        <v>763</v>
      </c>
      <c r="I75" t="s">
        <v>783</v>
      </c>
    </row>
    <row r="76" spans="1:9">
      <c r="I76" t="s">
        <v>784</v>
      </c>
    </row>
    <row r="77" spans="1:9">
      <c r="I77" t="s">
        <v>785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C801E-E0E3-4A1B-8685-D56357FE77A7}">
  <sheetPr codeName="Лист15">
    <tabColor rgb="FFFFFF00"/>
  </sheetPr>
  <dimension ref="A1:M90"/>
  <sheetViews>
    <sheetView workbookViewId="0">
      <selection activeCell="D19" sqref="D19"/>
    </sheetView>
  </sheetViews>
  <sheetFormatPr defaultRowHeight="14.25"/>
  <cols>
    <col min="1" max="1" width="9.140625" style="12" customWidth="1"/>
    <col min="2" max="16384" width="9.140625" style="12"/>
  </cols>
  <sheetData>
    <row r="1" spans="1:13" ht="15">
      <c r="A1" s="13" t="s">
        <v>786</v>
      </c>
    </row>
    <row r="2" spans="1:13">
      <c r="A2" s="14" t="s">
        <v>787</v>
      </c>
    </row>
    <row r="4" spans="1:13" ht="15">
      <c r="A4" s="13" t="s">
        <v>788</v>
      </c>
      <c r="E4" s="13" t="s">
        <v>799</v>
      </c>
      <c r="I4" s="13" t="s">
        <v>810</v>
      </c>
    </row>
    <row r="5" spans="1:13">
      <c r="A5" s="5" t="s">
        <v>789</v>
      </c>
      <c r="E5" s="5" t="s">
        <v>800</v>
      </c>
      <c r="I5" s="5" t="s">
        <v>811</v>
      </c>
    </row>
    <row r="6" spans="1:13">
      <c r="A6" s="5" t="s">
        <v>790</v>
      </c>
      <c r="E6" s="5" t="s">
        <v>801</v>
      </c>
      <c r="I6" s="5" t="s">
        <v>812</v>
      </c>
    </row>
    <row r="7" spans="1:13">
      <c r="A7" s="5" t="s">
        <v>791</v>
      </c>
      <c r="E7" s="5" t="s">
        <v>802</v>
      </c>
      <c r="I7" s="5" t="s">
        <v>813</v>
      </c>
    </row>
    <row r="8" spans="1:13">
      <c r="A8" s="5" t="s">
        <v>792</v>
      </c>
      <c r="E8" s="5" t="s">
        <v>803</v>
      </c>
      <c r="I8" s="5" t="s">
        <v>814</v>
      </c>
    </row>
    <row r="9" spans="1:13">
      <c r="A9" s="5" t="s">
        <v>793</v>
      </c>
      <c r="E9" s="5" t="s">
        <v>804</v>
      </c>
      <c r="I9" s="5" t="s">
        <v>815</v>
      </c>
    </row>
    <row r="10" spans="1:13">
      <c r="A10" s="5" t="s">
        <v>794</v>
      </c>
      <c r="E10" s="5" t="s">
        <v>805</v>
      </c>
      <c r="I10" s="5" t="s">
        <v>816</v>
      </c>
    </row>
    <row r="11" spans="1:13">
      <c r="A11" s="5" t="s">
        <v>795</v>
      </c>
      <c r="E11" s="5" t="s">
        <v>806</v>
      </c>
      <c r="I11" s="5" t="s">
        <v>817</v>
      </c>
    </row>
    <row r="12" spans="1:13">
      <c r="A12" s="5" t="s">
        <v>796</v>
      </c>
      <c r="E12" s="5" t="s">
        <v>807</v>
      </c>
      <c r="I12" s="5" t="s">
        <v>818</v>
      </c>
    </row>
    <row r="13" spans="1:13">
      <c r="A13" s="5" t="s">
        <v>797</v>
      </c>
      <c r="E13" s="5" t="s">
        <v>808</v>
      </c>
      <c r="I13" s="5" t="s">
        <v>819</v>
      </c>
    </row>
    <row r="14" spans="1:13">
      <c r="A14" s="5" t="s">
        <v>798</v>
      </c>
      <c r="E14" s="5" t="s">
        <v>809</v>
      </c>
      <c r="I14" s="5" t="s">
        <v>820</v>
      </c>
    </row>
    <row r="16" spans="1:13" ht="15">
      <c r="A16" s="13" t="s">
        <v>821</v>
      </c>
      <c r="E16" s="13" t="s">
        <v>832</v>
      </c>
      <c r="I16" s="13" t="s">
        <v>843</v>
      </c>
      <c r="M16" s="13" t="s">
        <v>854</v>
      </c>
    </row>
    <row r="17" spans="1:13">
      <c r="A17" s="5" t="s">
        <v>822</v>
      </c>
      <c r="E17" s="5" t="s">
        <v>833</v>
      </c>
      <c r="I17" s="5" t="s">
        <v>844</v>
      </c>
      <c r="M17" s="5" t="s">
        <v>855</v>
      </c>
    </row>
    <row r="18" spans="1:13">
      <c r="A18" s="5" t="s">
        <v>823</v>
      </c>
      <c r="E18" s="5" t="s">
        <v>834</v>
      </c>
      <c r="I18" s="5" t="s">
        <v>845</v>
      </c>
      <c r="M18" s="5" t="s">
        <v>856</v>
      </c>
    </row>
    <row r="19" spans="1:13">
      <c r="A19" s="5" t="s">
        <v>824</v>
      </c>
      <c r="E19" s="5" t="s">
        <v>835</v>
      </c>
      <c r="I19" s="5" t="s">
        <v>846</v>
      </c>
      <c r="M19" s="5" t="s">
        <v>857</v>
      </c>
    </row>
    <row r="20" spans="1:13">
      <c r="A20" s="5" t="s">
        <v>825</v>
      </c>
      <c r="E20" s="5" t="s">
        <v>836</v>
      </c>
      <c r="I20" s="5" t="s">
        <v>847</v>
      </c>
      <c r="M20" s="5" t="s">
        <v>858</v>
      </c>
    </row>
    <row r="21" spans="1:13">
      <c r="A21" s="5" t="s">
        <v>826</v>
      </c>
      <c r="E21" s="5" t="s">
        <v>837</v>
      </c>
      <c r="I21" s="5" t="s">
        <v>848</v>
      </c>
      <c r="M21" s="5" t="s">
        <v>859</v>
      </c>
    </row>
    <row r="22" spans="1:13">
      <c r="A22" s="5" t="s">
        <v>827</v>
      </c>
      <c r="E22" s="5" t="s">
        <v>838</v>
      </c>
      <c r="I22" s="5" t="s">
        <v>849</v>
      </c>
      <c r="M22" s="5" t="s">
        <v>860</v>
      </c>
    </row>
    <row r="23" spans="1:13">
      <c r="A23" s="5" t="s">
        <v>828</v>
      </c>
      <c r="E23" s="5" t="s">
        <v>839</v>
      </c>
      <c r="I23" s="5" t="s">
        <v>850</v>
      </c>
      <c r="M23" s="5" t="s">
        <v>861</v>
      </c>
    </row>
    <row r="24" spans="1:13">
      <c r="A24" s="5" t="s">
        <v>829</v>
      </c>
      <c r="E24" s="5" t="s">
        <v>840</v>
      </c>
      <c r="I24" s="5" t="s">
        <v>851</v>
      </c>
      <c r="M24" s="5" t="s">
        <v>862</v>
      </c>
    </row>
    <row r="25" spans="1:13">
      <c r="A25" s="5" t="s">
        <v>830</v>
      </c>
      <c r="E25" s="5" t="s">
        <v>841</v>
      </c>
      <c r="I25" s="5" t="s">
        <v>852</v>
      </c>
      <c r="M25" s="5" t="s">
        <v>863</v>
      </c>
    </row>
    <row r="26" spans="1:13">
      <c r="A26" s="5" t="s">
        <v>831</v>
      </c>
      <c r="E26" s="5" t="s">
        <v>842</v>
      </c>
      <c r="I26" s="5" t="s">
        <v>853</v>
      </c>
      <c r="M26" s="5" t="s">
        <v>864</v>
      </c>
    </row>
    <row r="28" spans="1:13" ht="15">
      <c r="A28" s="13" t="s">
        <v>865</v>
      </c>
      <c r="E28" s="13" t="s">
        <v>896</v>
      </c>
      <c r="I28" s="13" t="s">
        <v>917</v>
      </c>
      <c r="M28" s="13" t="s">
        <v>938</v>
      </c>
    </row>
    <row r="29" spans="1:13">
      <c r="A29" s="5" t="s">
        <v>866</v>
      </c>
      <c r="E29" s="5" t="s">
        <v>897</v>
      </c>
      <c r="I29" s="5" t="s">
        <v>918</v>
      </c>
      <c r="M29" s="5" t="s">
        <v>939</v>
      </c>
    </row>
    <row r="30" spans="1:13">
      <c r="A30" s="5" t="s">
        <v>867</v>
      </c>
      <c r="E30" s="5" t="s">
        <v>898</v>
      </c>
      <c r="I30" s="5" t="s">
        <v>919</v>
      </c>
      <c r="M30" s="5" t="s">
        <v>940</v>
      </c>
    </row>
    <row r="31" spans="1:13">
      <c r="A31" s="5" t="s">
        <v>868</v>
      </c>
      <c r="E31" s="5" t="s">
        <v>899</v>
      </c>
      <c r="I31" s="5" t="s">
        <v>920</v>
      </c>
      <c r="M31" s="5" t="s">
        <v>941</v>
      </c>
    </row>
    <row r="32" spans="1:13">
      <c r="A32" s="5" t="s">
        <v>869</v>
      </c>
      <c r="E32" s="5" t="s">
        <v>900</v>
      </c>
      <c r="I32" s="5" t="s">
        <v>921</v>
      </c>
      <c r="M32" s="5" t="s">
        <v>942</v>
      </c>
    </row>
    <row r="33" spans="1:13">
      <c r="A33" s="5" t="s">
        <v>870</v>
      </c>
      <c r="E33" s="5" t="s">
        <v>901</v>
      </c>
      <c r="I33" s="5" t="s">
        <v>922</v>
      </c>
      <c r="M33" s="5" t="s">
        <v>943</v>
      </c>
    </row>
    <row r="34" spans="1:13">
      <c r="A34" s="5" t="s">
        <v>871</v>
      </c>
      <c r="E34" s="5" t="s">
        <v>902</v>
      </c>
      <c r="I34" s="5" t="s">
        <v>923</v>
      </c>
      <c r="M34" s="5" t="s">
        <v>944</v>
      </c>
    </row>
    <row r="35" spans="1:13">
      <c r="A35" s="5" t="s">
        <v>872</v>
      </c>
      <c r="E35" s="5" t="s">
        <v>903</v>
      </c>
      <c r="I35" s="5" t="s">
        <v>924</v>
      </c>
      <c r="M35" s="5" t="s">
        <v>945</v>
      </c>
    </row>
    <row r="36" spans="1:13">
      <c r="A36" s="5" t="s">
        <v>873</v>
      </c>
      <c r="E36" s="5" t="s">
        <v>904</v>
      </c>
      <c r="I36" s="5" t="s">
        <v>925</v>
      </c>
      <c r="M36" s="5" t="s">
        <v>946</v>
      </c>
    </row>
    <row r="37" spans="1:13">
      <c r="A37" s="5" t="s">
        <v>874</v>
      </c>
      <c r="E37" s="5" t="s">
        <v>905</v>
      </c>
      <c r="I37" s="5" t="s">
        <v>926</v>
      </c>
      <c r="M37" s="5" t="s">
        <v>947</v>
      </c>
    </row>
    <row r="38" spans="1:13">
      <c r="A38" s="5" t="s">
        <v>875</v>
      </c>
      <c r="E38" s="5" t="s">
        <v>906</v>
      </c>
      <c r="I38" s="5" t="s">
        <v>927</v>
      </c>
      <c r="M38" s="5" t="s">
        <v>948</v>
      </c>
    </row>
    <row r="39" spans="1:13">
      <c r="A39" s="5" t="s">
        <v>876</v>
      </c>
      <c r="E39" s="5" t="s">
        <v>907</v>
      </c>
      <c r="I39" s="5" t="s">
        <v>928</v>
      </c>
      <c r="M39" s="5" t="s">
        <v>949</v>
      </c>
    </row>
    <row r="40" spans="1:13">
      <c r="A40" s="5" t="s">
        <v>877</v>
      </c>
      <c r="E40" s="5" t="s">
        <v>908</v>
      </c>
      <c r="I40" s="5" t="s">
        <v>929</v>
      </c>
      <c r="M40" s="5" t="s">
        <v>950</v>
      </c>
    </row>
    <row r="41" spans="1:13">
      <c r="A41" s="5" t="s">
        <v>878</v>
      </c>
      <c r="E41" s="5" t="s">
        <v>909</v>
      </c>
      <c r="I41" s="5" t="s">
        <v>930</v>
      </c>
      <c r="M41" s="5" t="s">
        <v>951</v>
      </c>
    </row>
    <row r="42" spans="1:13">
      <c r="A42" s="5" t="s">
        <v>879</v>
      </c>
      <c r="E42" s="5" t="s">
        <v>910</v>
      </c>
      <c r="I42" s="5" t="s">
        <v>931</v>
      </c>
      <c r="M42" s="5" t="s">
        <v>952</v>
      </c>
    </row>
    <row r="43" spans="1:13">
      <c r="A43" s="5" t="s">
        <v>880</v>
      </c>
      <c r="E43" s="5" t="s">
        <v>911</v>
      </c>
      <c r="I43" s="5" t="s">
        <v>932</v>
      </c>
      <c r="M43" s="5" t="s">
        <v>953</v>
      </c>
    </row>
    <row r="44" spans="1:13">
      <c r="A44" s="5" t="s">
        <v>881</v>
      </c>
      <c r="E44" s="5" t="s">
        <v>912</v>
      </c>
      <c r="I44" s="5" t="s">
        <v>933</v>
      </c>
      <c r="M44" s="5" t="s">
        <v>954</v>
      </c>
    </row>
    <row r="45" spans="1:13">
      <c r="A45" s="5" t="s">
        <v>882</v>
      </c>
      <c r="E45" s="5" t="s">
        <v>913</v>
      </c>
      <c r="I45" s="5" t="s">
        <v>934</v>
      </c>
      <c r="M45" s="5" t="s">
        <v>955</v>
      </c>
    </row>
    <row r="46" spans="1:13">
      <c r="A46" s="5" t="s">
        <v>883</v>
      </c>
      <c r="E46" s="5" t="s">
        <v>914</v>
      </c>
      <c r="I46" s="5" t="s">
        <v>935</v>
      </c>
      <c r="M46" s="5" t="s">
        <v>956</v>
      </c>
    </row>
    <row r="47" spans="1:13">
      <c r="A47" s="5" t="s">
        <v>884</v>
      </c>
      <c r="E47" s="5" t="s">
        <v>915</v>
      </c>
      <c r="I47" s="5" t="s">
        <v>936</v>
      </c>
      <c r="M47" s="5" t="s">
        <v>957</v>
      </c>
    </row>
    <row r="48" spans="1:13">
      <c r="A48" s="5" t="s">
        <v>885</v>
      </c>
      <c r="E48" s="5" t="s">
        <v>916</v>
      </c>
      <c r="I48" s="5" t="s">
        <v>937</v>
      </c>
      <c r="M48" s="5" t="s">
        <v>958</v>
      </c>
    </row>
    <row r="49" spans="1:9">
      <c r="A49" s="5" t="s">
        <v>886</v>
      </c>
    </row>
    <row r="50" spans="1:9">
      <c r="A50" s="5" t="s">
        <v>887</v>
      </c>
    </row>
    <row r="51" spans="1:9">
      <c r="A51" s="5" t="s">
        <v>888</v>
      </c>
    </row>
    <row r="52" spans="1:9">
      <c r="A52" s="5" t="s">
        <v>889</v>
      </c>
    </row>
    <row r="53" spans="1:9">
      <c r="A53" s="5" t="s">
        <v>890</v>
      </c>
    </row>
    <row r="54" spans="1:9">
      <c r="A54" s="5" t="s">
        <v>891</v>
      </c>
    </row>
    <row r="55" spans="1:9">
      <c r="A55" s="5" t="s">
        <v>892</v>
      </c>
    </row>
    <row r="56" spans="1:9">
      <c r="A56" s="5" t="s">
        <v>893</v>
      </c>
    </row>
    <row r="57" spans="1:9">
      <c r="A57" s="5" t="s">
        <v>894</v>
      </c>
    </row>
    <row r="58" spans="1:9">
      <c r="A58" s="5" t="s">
        <v>895</v>
      </c>
    </row>
    <row r="60" spans="1:9" ht="15">
      <c r="A60" s="13" t="s">
        <v>959</v>
      </c>
      <c r="E60" s="13" t="s">
        <v>970</v>
      </c>
      <c r="I60" s="13" t="s">
        <v>991</v>
      </c>
    </row>
    <row r="61" spans="1:9">
      <c r="A61" s="5" t="s">
        <v>960</v>
      </c>
      <c r="E61" s="5" t="s">
        <v>971</v>
      </c>
      <c r="I61" s="5" t="s">
        <v>992</v>
      </c>
    </row>
    <row r="62" spans="1:9">
      <c r="A62" s="5" t="s">
        <v>961</v>
      </c>
      <c r="E62" s="5" t="s">
        <v>972</v>
      </c>
      <c r="I62" s="5" t="s">
        <v>993</v>
      </c>
    </row>
    <row r="63" spans="1:9">
      <c r="A63" s="5" t="s">
        <v>962</v>
      </c>
      <c r="E63" s="5" t="s">
        <v>973</v>
      </c>
      <c r="I63" s="5" t="s">
        <v>994</v>
      </c>
    </row>
    <row r="64" spans="1:9">
      <c r="A64" s="5" t="s">
        <v>963</v>
      </c>
      <c r="E64" s="5" t="s">
        <v>974</v>
      </c>
      <c r="I64" s="5" t="s">
        <v>995</v>
      </c>
    </row>
    <row r="65" spans="1:9">
      <c r="A65" s="5" t="s">
        <v>964</v>
      </c>
      <c r="E65" s="5" t="s">
        <v>975</v>
      </c>
      <c r="I65" s="5" t="s">
        <v>996</v>
      </c>
    </row>
    <row r="66" spans="1:9">
      <c r="A66" s="5" t="s">
        <v>965</v>
      </c>
      <c r="E66" s="5" t="s">
        <v>976</v>
      </c>
      <c r="I66" s="5" t="s">
        <v>997</v>
      </c>
    </row>
    <row r="67" spans="1:9">
      <c r="A67" s="5" t="s">
        <v>966</v>
      </c>
      <c r="E67" s="5" t="s">
        <v>977</v>
      </c>
      <c r="I67" s="5" t="s">
        <v>998</v>
      </c>
    </row>
    <row r="68" spans="1:9">
      <c r="A68" s="5" t="s">
        <v>967</v>
      </c>
      <c r="E68" s="5" t="s">
        <v>978</v>
      </c>
      <c r="I68" s="5" t="s">
        <v>999</v>
      </c>
    </row>
    <row r="69" spans="1:9">
      <c r="A69" s="5" t="s">
        <v>968</v>
      </c>
      <c r="E69" s="5" t="s">
        <v>979</v>
      </c>
      <c r="I69" s="5" t="s">
        <v>1000</v>
      </c>
    </row>
    <row r="70" spans="1:9">
      <c r="A70" s="5" t="s">
        <v>969</v>
      </c>
      <c r="E70" s="5" t="s">
        <v>980</v>
      </c>
      <c r="I70" s="5" t="s">
        <v>1001</v>
      </c>
    </row>
    <row r="71" spans="1:9">
      <c r="E71" s="5" t="s">
        <v>981</v>
      </c>
      <c r="I71" s="5" t="s">
        <v>1002</v>
      </c>
    </row>
    <row r="72" spans="1:9">
      <c r="E72" s="5" t="s">
        <v>982</v>
      </c>
      <c r="I72" s="5" t="s">
        <v>1003</v>
      </c>
    </row>
    <row r="73" spans="1:9">
      <c r="E73" s="5" t="s">
        <v>983</v>
      </c>
      <c r="I73" s="5" t="s">
        <v>1004</v>
      </c>
    </row>
    <row r="74" spans="1:9">
      <c r="E74" s="5" t="s">
        <v>984</v>
      </c>
      <c r="I74" s="5" t="s">
        <v>1005</v>
      </c>
    </row>
    <row r="75" spans="1:9">
      <c r="E75" s="5" t="s">
        <v>985</v>
      </c>
      <c r="I75" s="5" t="s">
        <v>1006</v>
      </c>
    </row>
    <row r="76" spans="1:9">
      <c r="E76" s="5" t="s">
        <v>986</v>
      </c>
      <c r="I76" s="5" t="s">
        <v>1007</v>
      </c>
    </row>
    <row r="77" spans="1:9">
      <c r="E77" s="5" t="s">
        <v>987</v>
      </c>
      <c r="I77" s="5" t="s">
        <v>1008</v>
      </c>
    </row>
    <row r="78" spans="1:9">
      <c r="E78" s="5" t="s">
        <v>988</v>
      </c>
      <c r="I78" s="5" t="s">
        <v>1009</v>
      </c>
    </row>
    <row r="79" spans="1:9">
      <c r="E79" s="5" t="s">
        <v>989</v>
      </c>
      <c r="I79" s="5" t="s">
        <v>1010</v>
      </c>
    </row>
    <row r="80" spans="1:9">
      <c r="E80" s="5" t="s">
        <v>990</v>
      </c>
      <c r="I80" s="5" t="s">
        <v>1011</v>
      </c>
    </row>
    <row r="81" spans="9:9">
      <c r="I81" s="5" t="s">
        <v>1012</v>
      </c>
    </row>
    <row r="82" spans="9:9">
      <c r="I82" s="5" t="s">
        <v>1013</v>
      </c>
    </row>
    <row r="83" spans="9:9">
      <c r="I83" s="5" t="s">
        <v>1014</v>
      </c>
    </row>
    <row r="84" spans="9:9">
      <c r="I84" s="5" t="s">
        <v>1015</v>
      </c>
    </row>
    <row r="85" spans="9:9">
      <c r="I85" s="5" t="s">
        <v>1016</v>
      </c>
    </row>
    <row r="86" spans="9:9">
      <c r="I86" s="5" t="s">
        <v>1017</v>
      </c>
    </row>
    <row r="87" spans="9:9">
      <c r="I87" s="5" t="s">
        <v>1018</v>
      </c>
    </row>
    <row r="88" spans="9:9">
      <c r="I88" s="5" t="s">
        <v>1019</v>
      </c>
    </row>
    <row r="89" spans="9:9">
      <c r="I89" s="5" t="s">
        <v>1020</v>
      </c>
    </row>
    <row r="90" spans="9:9">
      <c r="I90" s="5" t="s">
        <v>1021</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F7AF4-FDCF-4589-8C55-4B369B664E04}">
  <sheetPr codeName="Лист16">
    <tabColor rgb="FFFFFF00"/>
  </sheetPr>
  <dimension ref="A1:Y64"/>
  <sheetViews>
    <sheetView workbookViewId="0">
      <selection activeCell="T5" sqref="T5:T10"/>
    </sheetView>
  </sheetViews>
  <sheetFormatPr defaultRowHeight="15"/>
  <cols>
    <col min="1" max="1" width="9.28515625" style="6" customWidth="1"/>
    <col min="2" max="16384" width="9.140625" style="6"/>
  </cols>
  <sheetData>
    <row r="1" spans="1:20" ht="18.75">
      <c r="A1" s="4" t="s">
        <v>1022</v>
      </c>
    </row>
    <row r="2" spans="1:20">
      <c r="A2" s="3" t="s">
        <v>1023</v>
      </c>
      <c r="E2" s="3" t="s">
        <v>1030</v>
      </c>
      <c r="I2" s="3" t="s">
        <v>1043</v>
      </c>
      <c r="T2" s="3" t="s">
        <v>8811</v>
      </c>
    </row>
    <row r="3" spans="1:20">
      <c r="A3" s="5" t="s">
        <v>1024</v>
      </c>
      <c r="E3" s="5" t="s">
        <v>1031</v>
      </c>
      <c r="I3" s="5" t="s">
        <v>1044</v>
      </c>
      <c r="T3" s="5" t="s">
        <v>8812</v>
      </c>
    </row>
    <row r="4" spans="1:20">
      <c r="A4" s="5" t="s">
        <v>1025</v>
      </c>
      <c r="E4" s="5" t="s">
        <v>1032</v>
      </c>
      <c r="I4" s="5" t="s">
        <v>1045</v>
      </c>
      <c r="T4" s="3" t="s">
        <v>8813</v>
      </c>
    </row>
    <row r="5" spans="1:20">
      <c r="A5" s="5" t="s">
        <v>1026</v>
      </c>
      <c r="E5" s="5" t="s">
        <v>1033</v>
      </c>
      <c r="I5" s="5" t="s">
        <v>1046</v>
      </c>
      <c r="T5" s="5" t="s">
        <v>8814</v>
      </c>
    </row>
    <row r="6" spans="1:20">
      <c r="A6" s="5" t="s">
        <v>1027</v>
      </c>
      <c r="E6" s="5" t="s">
        <v>1034</v>
      </c>
      <c r="I6" s="5" t="s">
        <v>1047</v>
      </c>
      <c r="T6" s="3" t="s">
        <v>8815</v>
      </c>
    </row>
    <row r="7" spans="1:20">
      <c r="A7" s="5" t="s">
        <v>1028</v>
      </c>
      <c r="E7" s="5" t="s">
        <v>1035</v>
      </c>
      <c r="I7" s="5" t="s">
        <v>1048</v>
      </c>
      <c r="T7" s="5" t="s">
        <v>8816</v>
      </c>
    </row>
    <row r="8" spans="1:20">
      <c r="A8" s="5" t="s">
        <v>1029</v>
      </c>
      <c r="E8" s="5" t="s">
        <v>1036</v>
      </c>
      <c r="I8" s="5" t="s">
        <v>1049</v>
      </c>
      <c r="T8" s="3" t="s">
        <v>8817</v>
      </c>
    </row>
    <row r="9" spans="1:20">
      <c r="E9" s="5" t="s">
        <v>1037</v>
      </c>
      <c r="I9" s="5" t="s">
        <v>1050</v>
      </c>
      <c r="T9" s="5" t="s">
        <v>8818</v>
      </c>
    </row>
    <row r="10" spans="1:20">
      <c r="E10" s="5" t="s">
        <v>1038</v>
      </c>
      <c r="I10" s="5" t="s">
        <v>1051</v>
      </c>
      <c r="T10" s="3" t="s">
        <v>8819</v>
      </c>
    </row>
    <row r="11" spans="1:20">
      <c r="E11" s="5" t="s">
        <v>1039</v>
      </c>
      <c r="I11" s="5" t="s">
        <v>1052</v>
      </c>
      <c r="T11" s="5"/>
    </row>
    <row r="12" spans="1:20">
      <c r="E12" s="5" t="s">
        <v>1040</v>
      </c>
      <c r="I12" s="5" t="s">
        <v>1053</v>
      </c>
      <c r="T12" s="3"/>
    </row>
    <row r="13" spans="1:20">
      <c r="E13" s="5" t="s">
        <v>1041</v>
      </c>
      <c r="I13" s="5" t="s">
        <v>1054</v>
      </c>
      <c r="T13" s="5"/>
    </row>
    <row r="14" spans="1:20">
      <c r="E14" s="5" t="s">
        <v>1042</v>
      </c>
      <c r="I14" s="5" t="s">
        <v>1055</v>
      </c>
      <c r="T14" s="3"/>
    </row>
    <row r="15" spans="1:20">
      <c r="T15" s="5"/>
    </row>
    <row r="16" spans="1:20">
      <c r="A16" s="3" t="s">
        <v>1056</v>
      </c>
      <c r="E16" s="3" t="s">
        <v>1063</v>
      </c>
      <c r="I16" s="3" t="s">
        <v>1072</v>
      </c>
      <c r="T16" s="3"/>
    </row>
    <row r="17" spans="1:25">
      <c r="A17" s="5" t="s">
        <v>1057</v>
      </c>
      <c r="E17" s="5" t="s">
        <v>1064</v>
      </c>
      <c r="I17" s="5" t="s">
        <v>1073</v>
      </c>
      <c r="T17" s="5"/>
    </row>
    <row r="18" spans="1:25">
      <c r="A18" s="5" t="s">
        <v>1058</v>
      </c>
      <c r="E18" s="5" t="s">
        <v>1065</v>
      </c>
      <c r="I18" s="5" t="s">
        <v>1074</v>
      </c>
      <c r="T18" s="3"/>
    </row>
    <row r="19" spans="1:25">
      <c r="A19" s="5" t="s">
        <v>1059</v>
      </c>
      <c r="E19" s="5" t="s">
        <v>1066</v>
      </c>
      <c r="I19" s="5" t="s">
        <v>1075</v>
      </c>
      <c r="T19" s="5"/>
    </row>
    <row r="20" spans="1:25">
      <c r="A20" s="5" t="s">
        <v>1060</v>
      </c>
      <c r="E20" s="5" t="s">
        <v>1067</v>
      </c>
      <c r="I20" s="5" t="s">
        <v>1076</v>
      </c>
      <c r="T20" s="3" t="s">
        <v>1104</v>
      </c>
      <c r="Y20" s="3" t="s">
        <v>517</v>
      </c>
    </row>
    <row r="21" spans="1:25">
      <c r="A21" s="5" t="s">
        <v>1061</v>
      </c>
      <c r="E21" s="5" t="s">
        <v>1068</v>
      </c>
      <c r="I21" s="5" t="s">
        <v>1077</v>
      </c>
      <c r="T21" s="5" t="s">
        <v>1106</v>
      </c>
      <c r="Y21" s="5" t="s">
        <v>1133</v>
      </c>
    </row>
    <row r="22" spans="1:25">
      <c r="A22" s="5" t="s">
        <v>1062</v>
      </c>
      <c r="E22" s="5" t="s">
        <v>1069</v>
      </c>
      <c r="I22" s="5" t="s">
        <v>1078</v>
      </c>
      <c r="T22" s="5" t="s">
        <v>1123</v>
      </c>
      <c r="Y22" s="5" t="s">
        <v>1138</v>
      </c>
    </row>
    <row r="23" spans="1:25">
      <c r="E23" s="5" t="s">
        <v>1070</v>
      </c>
      <c r="I23" s="5" t="s">
        <v>1079</v>
      </c>
      <c r="T23" s="5" t="s">
        <v>1121</v>
      </c>
      <c r="Y23" s="5" t="s">
        <v>1144</v>
      </c>
    </row>
    <row r="24" spans="1:25">
      <c r="E24" s="5" t="s">
        <v>1071</v>
      </c>
      <c r="I24" s="5" t="s">
        <v>1080</v>
      </c>
      <c r="T24" s="5" t="s">
        <v>1124</v>
      </c>
      <c r="Y24" s="5" t="s">
        <v>1135</v>
      </c>
    </row>
    <row r="25" spans="1:25">
      <c r="T25" s="5" t="s">
        <v>8810</v>
      </c>
      <c r="Y25" s="5" t="s">
        <v>1137</v>
      </c>
    </row>
    <row r="26" spans="1:25">
      <c r="A26" s="3" t="s">
        <v>1081</v>
      </c>
      <c r="E26" s="3" t="s">
        <v>1088</v>
      </c>
      <c r="I26" s="3" t="s">
        <v>1097</v>
      </c>
      <c r="T26" s="3" t="s">
        <v>1145</v>
      </c>
    </row>
    <row r="27" spans="1:25">
      <c r="A27" s="5" t="s">
        <v>1082</v>
      </c>
      <c r="E27" s="5" t="s">
        <v>1089</v>
      </c>
      <c r="I27" s="5" t="s">
        <v>1098</v>
      </c>
      <c r="T27" s="5" t="s">
        <v>1150</v>
      </c>
    </row>
    <row r="28" spans="1:25">
      <c r="A28" s="5" t="s">
        <v>1083</v>
      </c>
      <c r="E28" s="5" t="s">
        <v>1090</v>
      </c>
      <c r="I28" s="5" t="s">
        <v>1099</v>
      </c>
    </row>
    <row r="29" spans="1:25">
      <c r="A29" s="5" t="s">
        <v>1084</v>
      </c>
      <c r="E29" s="5" t="s">
        <v>1091</v>
      </c>
      <c r="I29" s="5" t="s">
        <v>1100</v>
      </c>
    </row>
    <row r="30" spans="1:25">
      <c r="A30" s="5" t="s">
        <v>1085</v>
      </c>
      <c r="E30" s="5" t="s">
        <v>1092</v>
      </c>
      <c r="I30" s="5" t="s">
        <v>1101</v>
      </c>
    </row>
    <row r="31" spans="1:25">
      <c r="A31" s="5" t="s">
        <v>1086</v>
      </c>
      <c r="E31" s="5" t="s">
        <v>1093</v>
      </c>
      <c r="I31" s="5" t="s">
        <v>1102</v>
      </c>
    </row>
    <row r="32" spans="1:25">
      <c r="A32" s="5" t="s">
        <v>1087</v>
      </c>
      <c r="E32" s="5" t="s">
        <v>1094</v>
      </c>
      <c r="I32" s="5" t="s">
        <v>1103</v>
      </c>
    </row>
    <row r="33" spans="1:5">
      <c r="E33" s="5" t="s">
        <v>1095</v>
      </c>
    </row>
    <row r="34" spans="1:5">
      <c r="E34" s="5" t="s">
        <v>1096</v>
      </c>
    </row>
    <row r="36" spans="1:5">
      <c r="A36" s="3" t="s">
        <v>1104</v>
      </c>
      <c r="E36" s="3" t="s">
        <v>517</v>
      </c>
    </row>
    <row r="37" spans="1:5">
      <c r="A37" s="5" t="s">
        <v>1105</v>
      </c>
      <c r="E37" s="5" t="s">
        <v>1125</v>
      </c>
    </row>
    <row r="38" spans="1:5">
      <c r="A38" s="5" t="s">
        <v>1106</v>
      </c>
      <c r="E38" s="5" t="s">
        <v>1126</v>
      </c>
    </row>
    <row r="39" spans="1:5">
      <c r="A39" s="5" t="s">
        <v>1107</v>
      </c>
      <c r="E39" s="5" t="s">
        <v>1127</v>
      </c>
    </row>
    <row r="40" spans="1:5">
      <c r="A40" s="5" t="s">
        <v>1108</v>
      </c>
      <c r="E40" s="5" t="s">
        <v>1128</v>
      </c>
    </row>
    <row r="41" spans="1:5">
      <c r="A41" s="5" t="s">
        <v>1109</v>
      </c>
      <c r="E41" s="5" t="s">
        <v>1129</v>
      </c>
    </row>
    <row r="42" spans="1:5">
      <c r="A42" s="5" t="s">
        <v>1110</v>
      </c>
      <c r="E42" s="5" t="s">
        <v>1130</v>
      </c>
    </row>
    <row r="43" spans="1:5">
      <c r="A43" s="5" t="s">
        <v>1111</v>
      </c>
      <c r="E43" s="5" t="s">
        <v>1131</v>
      </c>
    </row>
    <row r="44" spans="1:5">
      <c r="A44" s="5" t="s">
        <v>1112</v>
      </c>
      <c r="E44" s="5" t="s">
        <v>1132</v>
      </c>
    </row>
    <row r="45" spans="1:5">
      <c r="A45" s="5" t="s">
        <v>1113</v>
      </c>
      <c r="E45" s="5" t="s">
        <v>1133</v>
      </c>
    </row>
    <row r="46" spans="1:5">
      <c r="A46" s="5" t="s">
        <v>1114</v>
      </c>
      <c r="E46" s="5" t="s">
        <v>1134</v>
      </c>
    </row>
    <row r="47" spans="1:5">
      <c r="A47" s="5" t="s">
        <v>1115</v>
      </c>
      <c r="E47" s="5" t="s">
        <v>1135</v>
      </c>
    </row>
    <row r="48" spans="1:5">
      <c r="A48" s="5" t="s">
        <v>1116</v>
      </c>
      <c r="E48" s="5" t="s">
        <v>1136</v>
      </c>
    </row>
    <row r="49" spans="1:5">
      <c r="A49" s="5" t="s">
        <v>1117</v>
      </c>
      <c r="E49" s="5" t="s">
        <v>1137</v>
      </c>
    </row>
    <row r="50" spans="1:5">
      <c r="A50" s="5" t="s">
        <v>1118</v>
      </c>
      <c r="E50" s="5" t="s">
        <v>1138</v>
      </c>
    </row>
    <row r="51" spans="1:5">
      <c r="A51" s="5" t="s">
        <v>1119</v>
      </c>
      <c r="E51" s="5" t="s">
        <v>1139</v>
      </c>
    </row>
    <row r="52" spans="1:5">
      <c r="A52" s="5" t="s">
        <v>1120</v>
      </c>
      <c r="E52" s="5" t="s">
        <v>1140</v>
      </c>
    </row>
    <row r="53" spans="1:5">
      <c r="A53" s="5" t="s">
        <v>1121</v>
      </c>
      <c r="E53" s="5" t="s">
        <v>1141</v>
      </c>
    </row>
    <row r="54" spans="1:5">
      <c r="A54" s="5" t="s">
        <v>1122</v>
      </c>
      <c r="E54" s="5" t="s">
        <v>1142</v>
      </c>
    </row>
    <row r="55" spans="1:5">
      <c r="A55" s="5" t="s">
        <v>1123</v>
      </c>
      <c r="E55" s="5" t="s">
        <v>1143</v>
      </c>
    </row>
    <row r="56" spans="1:5">
      <c r="A56" s="5" t="s">
        <v>1124</v>
      </c>
      <c r="E56" s="5" t="s">
        <v>1144</v>
      </c>
    </row>
    <row r="58" spans="1:5">
      <c r="A58" s="3" t="s">
        <v>1145</v>
      </c>
    </row>
    <row r="59" spans="1:5">
      <c r="A59" s="5" t="s">
        <v>1146</v>
      </c>
    </row>
    <row r="60" spans="1:5">
      <c r="A60" s="5" t="s">
        <v>1147</v>
      </c>
    </row>
    <row r="61" spans="1:5">
      <c r="A61" s="5" t="s">
        <v>1148</v>
      </c>
    </row>
    <row r="62" spans="1:5">
      <c r="A62" s="5" t="s">
        <v>1149</v>
      </c>
    </row>
    <row r="63" spans="1:5">
      <c r="A63" s="5" t="s">
        <v>1150</v>
      </c>
    </row>
    <row r="64" spans="1:5">
      <c r="A64" s="5" t="s">
        <v>1151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58DA4-BABF-4DEE-8D1B-67C629C0E7C7}">
  <sheetPr codeName="Лист17">
    <tabColor rgb="FFFFFF00"/>
  </sheetPr>
  <dimension ref="A1:G108"/>
  <sheetViews>
    <sheetView workbookViewId="0">
      <selection activeCell="E67" sqref="E67"/>
    </sheetView>
  </sheetViews>
  <sheetFormatPr defaultRowHeight="15"/>
  <cols>
    <col min="1" max="16384" width="9.140625" style="6"/>
  </cols>
  <sheetData>
    <row r="1" spans="1:7" ht="18.75">
      <c r="A1" s="4" t="s">
        <v>4834</v>
      </c>
    </row>
    <row r="2" spans="1:7">
      <c r="A2" s="14" t="s">
        <v>3981</v>
      </c>
    </row>
    <row r="3" spans="1:7">
      <c r="A3" s="17" t="s">
        <v>3982</v>
      </c>
    </row>
    <row r="4" spans="1:7">
      <c r="A4" s="17" t="s">
        <v>3983</v>
      </c>
    </row>
    <row r="5" spans="1:7">
      <c r="A5" s="17" t="s">
        <v>3984</v>
      </c>
    </row>
    <row r="6" spans="1:7" ht="15.75" thickBot="1">
      <c r="A6" s="17" t="s">
        <v>3985</v>
      </c>
    </row>
    <row r="7" spans="1:7" ht="16.5" thickTop="1" thickBot="1">
      <c r="A7" s="18" t="s">
        <v>3986</v>
      </c>
      <c r="B7" s="19" t="s">
        <v>3987</v>
      </c>
      <c r="C7" s="19" t="s">
        <v>3988</v>
      </c>
      <c r="D7" s="19" t="s">
        <v>3989</v>
      </c>
      <c r="E7" s="19" t="s">
        <v>3990</v>
      </c>
      <c r="F7" s="19" t="s">
        <v>3991</v>
      </c>
      <c r="G7" s="20" t="s">
        <v>3992</v>
      </c>
    </row>
    <row r="8" spans="1:7" ht="15.75" thickBot="1">
      <c r="A8" s="21" t="s">
        <v>3993</v>
      </c>
      <c r="B8" s="22" t="s">
        <v>3994</v>
      </c>
      <c r="C8" s="22" t="s">
        <v>3995</v>
      </c>
      <c r="D8" s="22" t="s">
        <v>3996</v>
      </c>
      <c r="E8" s="22" t="s">
        <v>3997</v>
      </c>
      <c r="F8" s="22" t="s">
        <v>3998</v>
      </c>
      <c r="G8" s="23" t="s">
        <v>3999</v>
      </c>
    </row>
    <row r="9" spans="1:7" ht="15.75" thickBot="1">
      <c r="A9" s="21" t="s">
        <v>4000</v>
      </c>
      <c r="B9" s="22" t="s">
        <v>4001</v>
      </c>
      <c r="C9" s="22" t="s">
        <v>4002</v>
      </c>
      <c r="D9" s="22" t="s">
        <v>4003</v>
      </c>
      <c r="E9" s="22" t="s">
        <v>4004</v>
      </c>
      <c r="F9" s="22" t="s">
        <v>4005</v>
      </c>
      <c r="G9" s="23" t="s">
        <v>4006</v>
      </c>
    </row>
    <row r="10" spans="1:7" ht="15.75" thickBot="1">
      <c r="A10" s="21" t="s">
        <v>4007</v>
      </c>
      <c r="B10" s="22" t="s">
        <v>4008</v>
      </c>
      <c r="C10" s="22" t="s">
        <v>4008</v>
      </c>
      <c r="D10" s="22" t="s">
        <v>4009</v>
      </c>
      <c r="E10" s="22" t="s">
        <v>4010</v>
      </c>
      <c r="F10" s="22" t="s">
        <v>4011</v>
      </c>
      <c r="G10" s="23" t="s">
        <v>4012</v>
      </c>
    </row>
    <row r="11" spans="1:7" ht="15.75" thickBot="1">
      <c r="A11" s="21" t="s">
        <v>4013</v>
      </c>
      <c r="B11" s="22" t="s">
        <v>4014</v>
      </c>
      <c r="C11" s="22" t="s">
        <v>4015</v>
      </c>
      <c r="D11" s="22" t="s">
        <v>4016</v>
      </c>
      <c r="E11" s="22" t="s">
        <v>4017</v>
      </c>
      <c r="F11" s="22" t="s">
        <v>4018</v>
      </c>
      <c r="G11" s="23" t="s">
        <v>4019</v>
      </c>
    </row>
    <row r="12" spans="1:7" ht="15.75" thickBot="1">
      <c r="A12" s="21" t="s">
        <v>4020</v>
      </c>
      <c r="B12" s="22" t="s">
        <v>4021</v>
      </c>
      <c r="C12" s="22" t="s">
        <v>4022</v>
      </c>
      <c r="D12" s="22" t="s">
        <v>4023</v>
      </c>
      <c r="E12" s="22" t="s">
        <v>4024</v>
      </c>
      <c r="F12" s="22" t="s">
        <v>4025</v>
      </c>
      <c r="G12" s="23" t="s">
        <v>4026</v>
      </c>
    </row>
    <row r="13" spans="1:7" ht="15.75" thickBot="1">
      <c r="A13" s="21" t="s">
        <v>4027</v>
      </c>
      <c r="B13" s="22" t="s">
        <v>4028</v>
      </c>
      <c r="C13" s="22" t="s">
        <v>4029</v>
      </c>
      <c r="D13" s="22" t="s">
        <v>4030</v>
      </c>
      <c r="E13" s="22" t="s">
        <v>4031</v>
      </c>
      <c r="F13" s="22" t="s">
        <v>4032</v>
      </c>
      <c r="G13" s="23" t="s">
        <v>4033</v>
      </c>
    </row>
    <row r="14" spans="1:7" ht="15.75" thickBot="1">
      <c r="A14" s="21" t="s">
        <v>4034</v>
      </c>
      <c r="B14" s="22" t="s">
        <v>4035</v>
      </c>
      <c r="C14" s="22" t="s">
        <v>4036</v>
      </c>
      <c r="D14" s="22" t="s">
        <v>4037</v>
      </c>
      <c r="E14" s="22" t="s">
        <v>4038</v>
      </c>
      <c r="F14" s="22" t="s">
        <v>4039</v>
      </c>
      <c r="G14" s="23" t="s">
        <v>4040</v>
      </c>
    </row>
    <row r="15" spans="1:7" ht="15.75" thickBot="1">
      <c r="A15" s="21" t="s">
        <v>4041</v>
      </c>
      <c r="B15" s="22" t="s">
        <v>4042</v>
      </c>
      <c r="C15" s="22" t="s">
        <v>4043</v>
      </c>
      <c r="D15" s="22" t="s">
        <v>4044</v>
      </c>
      <c r="E15" s="22" t="s">
        <v>4045</v>
      </c>
      <c r="F15" s="22" t="s">
        <v>4046</v>
      </c>
      <c r="G15" s="23" t="s">
        <v>4047</v>
      </c>
    </row>
    <row r="16" spans="1:7" ht="15.75" thickBot="1">
      <c r="A16" s="21" t="s">
        <v>4048</v>
      </c>
      <c r="B16" s="22" t="s">
        <v>4049</v>
      </c>
      <c r="C16" s="22" t="s">
        <v>4050</v>
      </c>
      <c r="D16" s="22" t="s">
        <v>4051</v>
      </c>
      <c r="E16" s="22" t="s">
        <v>4052</v>
      </c>
      <c r="F16" s="22" t="s">
        <v>4053</v>
      </c>
      <c r="G16" s="23" t="s">
        <v>4054</v>
      </c>
    </row>
    <row r="17" spans="1:7" ht="15.75" thickBot="1">
      <c r="A17" s="21" t="s">
        <v>4055</v>
      </c>
      <c r="B17" s="22" t="s">
        <v>4056</v>
      </c>
      <c r="C17" s="22" t="s">
        <v>4057</v>
      </c>
      <c r="D17" s="22" t="s">
        <v>4058</v>
      </c>
      <c r="E17" s="22" t="s">
        <v>4059</v>
      </c>
      <c r="F17" s="22" t="s">
        <v>4060</v>
      </c>
      <c r="G17" s="23" t="s">
        <v>4061</v>
      </c>
    </row>
    <row r="18" spans="1:7" ht="15.75" thickBot="1">
      <c r="A18" s="21" t="s">
        <v>4062</v>
      </c>
      <c r="B18" s="22" t="s">
        <v>4063</v>
      </c>
      <c r="C18" s="22" t="s">
        <v>4064</v>
      </c>
      <c r="D18" s="22" t="s">
        <v>4065</v>
      </c>
      <c r="E18" s="22" t="s">
        <v>4066</v>
      </c>
      <c r="F18" s="22" t="s">
        <v>4067</v>
      </c>
      <c r="G18" s="23" t="s">
        <v>4068</v>
      </c>
    </row>
    <row r="19" spans="1:7" ht="15.75" thickBot="1">
      <c r="A19" s="21" t="s">
        <v>4069</v>
      </c>
      <c r="B19" s="22" t="s">
        <v>4070</v>
      </c>
      <c r="C19" s="22" t="s">
        <v>4071</v>
      </c>
      <c r="D19" s="22" t="s">
        <v>4072</v>
      </c>
      <c r="E19" s="22" t="s">
        <v>4073</v>
      </c>
      <c r="F19" s="22" t="s">
        <v>4074</v>
      </c>
      <c r="G19" s="23" t="s">
        <v>4075</v>
      </c>
    </row>
    <row r="20" spans="1:7" ht="15.75" thickBot="1">
      <c r="A20" s="21" t="s">
        <v>4076</v>
      </c>
      <c r="B20" s="22" t="s">
        <v>4077</v>
      </c>
      <c r="C20" s="22" t="s">
        <v>4042</v>
      </c>
      <c r="D20" s="22" t="s">
        <v>4078</v>
      </c>
      <c r="E20" s="22" t="s">
        <v>4079</v>
      </c>
      <c r="F20" s="22" t="s">
        <v>4080</v>
      </c>
      <c r="G20" s="23" t="s">
        <v>4081</v>
      </c>
    </row>
    <row r="21" spans="1:7" ht="15.75" thickBot="1">
      <c r="A21" s="21" t="s">
        <v>4082</v>
      </c>
      <c r="B21" s="22" t="s">
        <v>4083</v>
      </c>
      <c r="C21" s="22" t="s">
        <v>4084</v>
      </c>
      <c r="D21" s="22" t="s">
        <v>4085</v>
      </c>
      <c r="E21" s="22" t="s">
        <v>4086</v>
      </c>
      <c r="F21" s="22" t="s">
        <v>4087</v>
      </c>
      <c r="G21" s="23" t="s">
        <v>4088</v>
      </c>
    </row>
    <row r="22" spans="1:7" ht="15.75" thickBot="1">
      <c r="A22" s="21" t="s">
        <v>4089</v>
      </c>
      <c r="B22" s="22" t="s">
        <v>4090</v>
      </c>
      <c r="C22" s="22" t="s">
        <v>4091</v>
      </c>
      <c r="D22" s="22" t="s">
        <v>4092</v>
      </c>
      <c r="E22" s="22" t="s">
        <v>4093</v>
      </c>
      <c r="F22" s="22" t="s">
        <v>4094</v>
      </c>
      <c r="G22" s="23" t="s">
        <v>4095</v>
      </c>
    </row>
    <row r="23" spans="1:7" ht="15.75" thickBot="1">
      <c r="A23" s="21" t="s">
        <v>4096</v>
      </c>
      <c r="B23" s="22" t="s">
        <v>4097</v>
      </c>
      <c r="C23" s="22" t="s">
        <v>4063</v>
      </c>
      <c r="D23" s="22" t="s">
        <v>4098</v>
      </c>
      <c r="E23" s="22" t="s">
        <v>4099</v>
      </c>
      <c r="F23" s="22" t="s">
        <v>4100</v>
      </c>
      <c r="G23" s="23" t="s">
        <v>4101</v>
      </c>
    </row>
    <row r="24" spans="1:7" ht="15.75" thickBot="1">
      <c r="A24" s="21" t="s">
        <v>4102</v>
      </c>
      <c r="B24" s="22" t="s">
        <v>4103</v>
      </c>
      <c r="C24" s="22" t="s">
        <v>4104</v>
      </c>
      <c r="D24" s="22" t="s">
        <v>4105</v>
      </c>
      <c r="E24" s="22" t="s">
        <v>4106</v>
      </c>
      <c r="F24" s="22" t="s">
        <v>4107</v>
      </c>
      <c r="G24" s="23" t="s">
        <v>4108</v>
      </c>
    </row>
    <row r="25" spans="1:7" ht="15.75" thickBot="1">
      <c r="A25" s="21" t="s">
        <v>4109</v>
      </c>
      <c r="B25" s="22" t="s">
        <v>4110</v>
      </c>
      <c r="C25" s="22" t="s">
        <v>4111</v>
      </c>
      <c r="D25" s="22" t="s">
        <v>4112</v>
      </c>
      <c r="E25" s="22" t="s">
        <v>4113</v>
      </c>
      <c r="F25" s="22" t="s">
        <v>4114</v>
      </c>
      <c r="G25" s="23" t="s">
        <v>4115</v>
      </c>
    </row>
    <row r="26" spans="1:7" ht="15.75" thickBot="1">
      <c r="A26" s="21" t="s">
        <v>4116</v>
      </c>
      <c r="B26" s="22" t="s">
        <v>4117</v>
      </c>
      <c r="C26" s="22" t="s">
        <v>4118</v>
      </c>
      <c r="D26" s="22" t="s">
        <v>4119</v>
      </c>
      <c r="E26" s="22" t="s">
        <v>4120</v>
      </c>
      <c r="F26" s="22" t="s">
        <v>4121</v>
      </c>
      <c r="G26" s="23" t="s">
        <v>4122</v>
      </c>
    </row>
    <row r="27" spans="1:7" ht="15.75" thickBot="1">
      <c r="A27" s="21" t="s">
        <v>4123</v>
      </c>
      <c r="B27" s="22" t="s">
        <v>4124</v>
      </c>
      <c r="C27" s="22" t="s">
        <v>4125</v>
      </c>
      <c r="D27" s="22" t="s">
        <v>4126</v>
      </c>
      <c r="E27" s="22" t="s">
        <v>4127</v>
      </c>
      <c r="F27" s="22" t="s">
        <v>4128</v>
      </c>
      <c r="G27" s="23" t="s">
        <v>4129</v>
      </c>
    </row>
    <row r="28" spans="1:7" ht="15.75" thickBot="1">
      <c r="A28" s="21" t="s">
        <v>4130</v>
      </c>
      <c r="B28" s="22" t="s">
        <v>4131</v>
      </c>
      <c r="C28" s="22" t="s">
        <v>4132</v>
      </c>
      <c r="D28" s="22" t="s">
        <v>4133</v>
      </c>
      <c r="E28" s="22" t="s">
        <v>4134</v>
      </c>
      <c r="F28" s="22" t="s">
        <v>4135</v>
      </c>
      <c r="G28" s="23" t="s">
        <v>4136</v>
      </c>
    </row>
    <row r="29" spans="1:7" ht="15.75" thickBot="1">
      <c r="A29" s="21" t="s">
        <v>4137</v>
      </c>
      <c r="B29" s="22" t="s">
        <v>4138</v>
      </c>
      <c r="C29" s="22" t="s">
        <v>4139</v>
      </c>
      <c r="D29" s="22" t="s">
        <v>4140</v>
      </c>
      <c r="E29" s="22" t="s">
        <v>4141</v>
      </c>
      <c r="F29" s="22" t="s">
        <v>4142</v>
      </c>
      <c r="G29" s="23" t="s">
        <v>4143</v>
      </c>
    </row>
    <row r="30" spans="1:7" ht="15.75" thickBot="1">
      <c r="A30" s="21" t="s">
        <v>4144</v>
      </c>
      <c r="B30" s="22" t="s">
        <v>4145</v>
      </c>
      <c r="C30" s="22" t="s">
        <v>4146</v>
      </c>
      <c r="D30" s="22" t="s">
        <v>4147</v>
      </c>
      <c r="E30" s="22" t="s">
        <v>4148</v>
      </c>
      <c r="F30" s="22" t="s">
        <v>4149</v>
      </c>
      <c r="G30" s="23" t="s">
        <v>4150</v>
      </c>
    </row>
    <row r="31" spans="1:7" ht="15.75" thickBot="1">
      <c r="A31" s="21" t="s">
        <v>4151</v>
      </c>
      <c r="B31" s="22" t="s">
        <v>4152</v>
      </c>
      <c r="C31" s="22" t="s">
        <v>4153</v>
      </c>
      <c r="D31" s="22" t="s">
        <v>4154</v>
      </c>
      <c r="E31" s="22" t="s">
        <v>4155</v>
      </c>
      <c r="F31" s="22" t="s">
        <v>4156</v>
      </c>
      <c r="G31" s="23" t="s">
        <v>4157</v>
      </c>
    </row>
    <row r="32" spans="1:7" ht="15.75" thickBot="1">
      <c r="A32" s="21" t="s">
        <v>4158</v>
      </c>
      <c r="B32" s="22" t="s">
        <v>4159</v>
      </c>
      <c r="C32" s="22" t="s">
        <v>4160</v>
      </c>
      <c r="D32" s="22" t="s">
        <v>4161</v>
      </c>
      <c r="E32" s="22" t="s">
        <v>4162</v>
      </c>
      <c r="F32" s="22" t="s">
        <v>4163</v>
      </c>
      <c r="G32" s="23" t="s">
        <v>4164</v>
      </c>
    </row>
    <row r="33" spans="1:7" ht="15.75" thickBot="1">
      <c r="A33" s="21" t="s">
        <v>4165</v>
      </c>
      <c r="B33" s="22" t="s">
        <v>4166</v>
      </c>
      <c r="C33" s="22" t="s">
        <v>4167</v>
      </c>
      <c r="D33" s="22" t="s">
        <v>4168</v>
      </c>
      <c r="E33" s="22" t="s">
        <v>4169</v>
      </c>
      <c r="F33" s="22" t="s">
        <v>4170</v>
      </c>
      <c r="G33" s="23" t="s">
        <v>4171</v>
      </c>
    </row>
    <row r="34" spans="1:7" ht="15.75" thickBot="1">
      <c r="A34" s="21" t="s">
        <v>4172</v>
      </c>
      <c r="B34" s="22" t="s">
        <v>4173</v>
      </c>
      <c r="C34" s="22" t="s">
        <v>4174</v>
      </c>
      <c r="D34" s="22" t="s">
        <v>4175</v>
      </c>
      <c r="E34" s="22" t="s">
        <v>4176</v>
      </c>
      <c r="F34" s="22" t="s">
        <v>4177</v>
      </c>
      <c r="G34" s="23" t="s">
        <v>4178</v>
      </c>
    </row>
    <row r="35" spans="1:7" ht="15.75" thickBot="1">
      <c r="A35" s="21" t="s">
        <v>4179</v>
      </c>
      <c r="B35" s="22" t="s">
        <v>4180</v>
      </c>
      <c r="C35" s="22" t="s">
        <v>4181</v>
      </c>
      <c r="D35" s="22" t="s">
        <v>4182</v>
      </c>
      <c r="E35" s="22" t="s">
        <v>4183</v>
      </c>
      <c r="F35" s="22" t="s">
        <v>4184</v>
      </c>
      <c r="G35" s="23" t="s">
        <v>4185</v>
      </c>
    </row>
    <row r="36" spans="1:7" ht="15.75" thickBot="1">
      <c r="A36" s="21" t="s">
        <v>4186</v>
      </c>
      <c r="B36" s="22" t="s">
        <v>4187</v>
      </c>
      <c r="C36" s="22" t="s">
        <v>4188</v>
      </c>
      <c r="D36" s="22" t="s">
        <v>4189</v>
      </c>
      <c r="E36" s="22" t="s">
        <v>4190</v>
      </c>
      <c r="F36" s="22" t="s">
        <v>4191</v>
      </c>
      <c r="G36" s="23" t="s">
        <v>4192</v>
      </c>
    </row>
    <row r="37" spans="1:7" ht="15.75" thickBot="1">
      <c r="A37" s="21" t="s">
        <v>4193</v>
      </c>
      <c r="B37" s="22" t="s">
        <v>4194</v>
      </c>
      <c r="C37" s="22" t="s">
        <v>4117</v>
      </c>
      <c r="D37" s="22" t="s">
        <v>4195</v>
      </c>
      <c r="E37" s="22" t="s">
        <v>4196</v>
      </c>
      <c r="F37" s="22" t="s">
        <v>4197</v>
      </c>
      <c r="G37" s="23" t="s">
        <v>4198</v>
      </c>
    </row>
    <row r="38" spans="1:7" ht="15.75" thickBot="1">
      <c r="A38" s="21" t="s">
        <v>4199</v>
      </c>
      <c r="B38" s="22" t="s">
        <v>4200</v>
      </c>
      <c r="C38" s="22" t="s">
        <v>4201</v>
      </c>
      <c r="D38" s="22" t="s">
        <v>4202</v>
      </c>
      <c r="E38" s="22" t="s">
        <v>4203</v>
      </c>
      <c r="F38" s="22" t="s">
        <v>4204</v>
      </c>
      <c r="G38" s="23" t="s">
        <v>4205</v>
      </c>
    </row>
    <row r="39" spans="1:7" ht="15.75" thickBot="1">
      <c r="A39" s="21" t="s">
        <v>4206</v>
      </c>
      <c r="B39" s="22" t="s">
        <v>4207</v>
      </c>
      <c r="C39" s="22" t="s">
        <v>4138</v>
      </c>
      <c r="D39" s="22" t="s">
        <v>4208</v>
      </c>
      <c r="E39" s="22" t="s">
        <v>4209</v>
      </c>
      <c r="F39" s="22" t="s">
        <v>4210</v>
      </c>
      <c r="G39" s="23" t="s">
        <v>4211</v>
      </c>
    </row>
    <row r="40" spans="1:7" ht="15.75" thickBot="1">
      <c r="A40" s="21" t="s">
        <v>4212</v>
      </c>
      <c r="B40" s="22" t="s">
        <v>4213</v>
      </c>
      <c r="C40" s="22" t="s">
        <v>4214</v>
      </c>
      <c r="D40" s="22" t="s">
        <v>4215</v>
      </c>
      <c r="E40" s="22" t="s">
        <v>4216</v>
      </c>
      <c r="F40" s="22" t="s">
        <v>4217</v>
      </c>
      <c r="G40" s="23" t="s">
        <v>4218</v>
      </c>
    </row>
    <row r="41" spans="1:7" ht="15.75" thickBot="1">
      <c r="A41" s="21" t="s">
        <v>4219</v>
      </c>
      <c r="B41" s="22" t="s">
        <v>4220</v>
      </c>
      <c r="C41" s="22" t="s">
        <v>4221</v>
      </c>
      <c r="D41" s="22" t="s">
        <v>4222</v>
      </c>
      <c r="E41" s="22" t="s">
        <v>4223</v>
      </c>
      <c r="F41" s="22" t="s">
        <v>4224</v>
      </c>
      <c r="G41" s="23" t="s">
        <v>4225</v>
      </c>
    </row>
    <row r="42" spans="1:7" ht="15.75" thickBot="1">
      <c r="A42" s="21" t="s">
        <v>4226</v>
      </c>
      <c r="B42" s="22" t="s">
        <v>4227</v>
      </c>
      <c r="C42" s="22" t="s">
        <v>4159</v>
      </c>
      <c r="D42" s="22" t="s">
        <v>4228</v>
      </c>
      <c r="E42" s="22" t="s">
        <v>4229</v>
      </c>
      <c r="F42" s="22" t="s">
        <v>4230</v>
      </c>
      <c r="G42" s="23" t="s">
        <v>4231</v>
      </c>
    </row>
    <row r="43" spans="1:7" ht="15.75" thickBot="1">
      <c r="A43" s="21" t="s">
        <v>4232</v>
      </c>
      <c r="B43" s="22" t="s">
        <v>4233</v>
      </c>
      <c r="C43" s="22" t="s">
        <v>4173</v>
      </c>
      <c r="D43" s="22" t="s">
        <v>4234</v>
      </c>
      <c r="E43" s="22" t="s">
        <v>4235</v>
      </c>
      <c r="F43" s="22" t="s">
        <v>4236</v>
      </c>
      <c r="G43" s="23" t="s">
        <v>4237</v>
      </c>
    </row>
    <row r="44" spans="1:7" ht="15.75" thickBot="1">
      <c r="A44" s="21" t="s">
        <v>4238</v>
      </c>
      <c r="B44" s="22" t="s">
        <v>4239</v>
      </c>
      <c r="C44" s="22" t="s">
        <v>4240</v>
      </c>
      <c r="D44" s="22" t="s">
        <v>4241</v>
      </c>
      <c r="E44" s="22" t="s">
        <v>4242</v>
      </c>
      <c r="F44" s="22" t="s">
        <v>4243</v>
      </c>
      <c r="G44" s="23" t="s">
        <v>4244</v>
      </c>
    </row>
    <row r="45" spans="1:7" ht="15.75" thickBot="1">
      <c r="A45" s="21" t="s">
        <v>4245</v>
      </c>
      <c r="B45" s="22" t="s">
        <v>4246</v>
      </c>
      <c r="C45" s="22" t="s">
        <v>4247</v>
      </c>
      <c r="D45" s="22" t="s">
        <v>4248</v>
      </c>
      <c r="E45" s="22" t="s">
        <v>4249</v>
      </c>
      <c r="F45" s="22" t="s">
        <v>4250</v>
      </c>
      <c r="G45" s="23" t="s">
        <v>4251</v>
      </c>
    </row>
    <row r="46" spans="1:7" ht="15.75" thickBot="1">
      <c r="A46" s="21" t="s">
        <v>4252</v>
      </c>
      <c r="B46" s="22" t="s">
        <v>4253</v>
      </c>
      <c r="C46" s="22" t="s">
        <v>4194</v>
      </c>
      <c r="D46" s="22" t="s">
        <v>4254</v>
      </c>
      <c r="E46" s="22" t="s">
        <v>4255</v>
      </c>
      <c r="F46" s="22" t="s">
        <v>4256</v>
      </c>
      <c r="G46" s="23" t="s">
        <v>4257</v>
      </c>
    </row>
    <row r="47" spans="1:7" ht="15.75" thickBot="1">
      <c r="A47" s="21" t="s">
        <v>4258</v>
      </c>
      <c r="B47" s="22" t="s">
        <v>4259</v>
      </c>
      <c r="C47" s="22" t="s">
        <v>4260</v>
      </c>
      <c r="D47" s="22" t="s">
        <v>4261</v>
      </c>
      <c r="E47" s="22" t="s">
        <v>4262</v>
      </c>
      <c r="F47" s="22" t="s">
        <v>4263</v>
      </c>
      <c r="G47" s="23" t="s">
        <v>4264</v>
      </c>
    </row>
    <row r="48" spans="1:7" ht="15.75" thickBot="1">
      <c r="A48" s="21" t="s">
        <v>4265</v>
      </c>
      <c r="B48" s="22" t="s">
        <v>4266</v>
      </c>
      <c r="C48" s="22" t="s">
        <v>4200</v>
      </c>
      <c r="D48" s="22" t="s">
        <v>4267</v>
      </c>
      <c r="E48" s="22" t="s">
        <v>4268</v>
      </c>
      <c r="F48" s="22" t="s">
        <v>4269</v>
      </c>
      <c r="G48" s="23" t="s">
        <v>4270</v>
      </c>
    </row>
    <row r="49" spans="1:7" ht="15.75" thickBot="1">
      <c r="A49" s="21" t="s">
        <v>4271</v>
      </c>
      <c r="B49" s="22" t="s">
        <v>4272</v>
      </c>
      <c r="C49" s="22" t="s">
        <v>4273</v>
      </c>
      <c r="D49" s="22" t="s">
        <v>4274</v>
      </c>
      <c r="E49" s="22" t="s">
        <v>4275</v>
      </c>
      <c r="F49" s="22" t="s">
        <v>4276</v>
      </c>
      <c r="G49" s="23" t="s">
        <v>4277</v>
      </c>
    </row>
    <row r="50" spans="1:7" ht="15.75" thickBot="1">
      <c r="A50" s="21" t="s">
        <v>4278</v>
      </c>
      <c r="B50" s="22" t="s">
        <v>4279</v>
      </c>
      <c r="C50" s="22" t="s">
        <v>4220</v>
      </c>
      <c r="D50" s="22" t="s">
        <v>4280</v>
      </c>
      <c r="E50" s="22" t="s">
        <v>4281</v>
      </c>
      <c r="F50" s="22" t="s">
        <v>4282</v>
      </c>
      <c r="G50" s="23" t="s">
        <v>4283</v>
      </c>
    </row>
    <row r="51" spans="1:7" ht="15.75" thickBot="1">
      <c r="A51" s="21" t="s">
        <v>4284</v>
      </c>
      <c r="B51" s="22" t="s">
        <v>4285</v>
      </c>
      <c r="C51" s="22" t="s">
        <v>4239</v>
      </c>
      <c r="D51" s="22" t="s">
        <v>4286</v>
      </c>
      <c r="E51" s="22" t="s">
        <v>4287</v>
      </c>
      <c r="F51" s="22" t="s">
        <v>4288</v>
      </c>
      <c r="G51" s="23" t="s">
        <v>4289</v>
      </c>
    </row>
    <row r="52" spans="1:7" ht="15.75" thickBot="1">
      <c r="A52" s="21" t="s">
        <v>4290</v>
      </c>
      <c r="B52" s="22" t="s">
        <v>4291</v>
      </c>
      <c r="C52" s="22" t="s">
        <v>4292</v>
      </c>
      <c r="D52" s="22" t="s">
        <v>4293</v>
      </c>
      <c r="E52" s="22" t="s">
        <v>4294</v>
      </c>
      <c r="F52" s="22" t="s">
        <v>4295</v>
      </c>
      <c r="G52" s="23" t="s">
        <v>4296</v>
      </c>
    </row>
    <row r="53" spans="1:7" ht="15.75" thickBot="1">
      <c r="A53" s="21" t="s">
        <v>4297</v>
      </c>
      <c r="B53" s="22" t="s">
        <v>4298</v>
      </c>
      <c r="C53" s="22" t="s">
        <v>4299</v>
      </c>
      <c r="D53" s="22" t="s">
        <v>4300</v>
      </c>
      <c r="E53" s="22" t="s">
        <v>4301</v>
      </c>
      <c r="F53" s="22" t="s">
        <v>4302</v>
      </c>
      <c r="G53" s="23" t="s">
        <v>4303</v>
      </c>
    </row>
    <row r="54" spans="1:7" ht="15.75" thickBot="1">
      <c r="A54" s="21" t="s">
        <v>4304</v>
      </c>
      <c r="B54" s="22" t="s">
        <v>4305</v>
      </c>
      <c r="C54" s="22" t="s">
        <v>4299</v>
      </c>
      <c r="D54" s="22" t="s">
        <v>4203</v>
      </c>
      <c r="E54" s="22" t="s">
        <v>4306</v>
      </c>
      <c r="F54" s="22" t="s">
        <v>4307</v>
      </c>
      <c r="G54" s="23" t="s">
        <v>4308</v>
      </c>
    </row>
    <row r="55" spans="1:7" ht="15.75" thickBot="1">
      <c r="A55" s="21" t="s">
        <v>4309</v>
      </c>
      <c r="B55" s="22" t="s">
        <v>4310</v>
      </c>
      <c r="C55" s="22" t="s">
        <v>4311</v>
      </c>
      <c r="D55" s="22" t="s">
        <v>4312</v>
      </c>
      <c r="E55" s="22" t="s">
        <v>4313</v>
      </c>
      <c r="F55" s="22" t="s">
        <v>4314</v>
      </c>
      <c r="G55" s="23" t="s">
        <v>4315</v>
      </c>
    </row>
    <row r="56" spans="1:7" ht="15.75" thickBot="1">
      <c r="A56" s="21" t="s">
        <v>4316</v>
      </c>
      <c r="B56" s="22" t="s">
        <v>4317</v>
      </c>
      <c r="C56" s="22" t="s">
        <v>4318</v>
      </c>
      <c r="D56" s="22" t="s">
        <v>4319</v>
      </c>
      <c r="E56" s="22" t="s">
        <v>4320</v>
      </c>
      <c r="F56" s="22" t="s">
        <v>4321</v>
      </c>
      <c r="G56" s="23" t="s">
        <v>4322</v>
      </c>
    </row>
    <row r="57" spans="1:7" ht="15.75" thickBot="1">
      <c r="A57" s="21" t="s">
        <v>4323</v>
      </c>
      <c r="B57" s="22" t="s">
        <v>4324</v>
      </c>
      <c r="C57" s="22" t="s">
        <v>4325</v>
      </c>
      <c r="D57" s="22" t="s">
        <v>4326</v>
      </c>
      <c r="E57" s="22" t="s">
        <v>4327</v>
      </c>
      <c r="F57" s="22" t="s">
        <v>4328</v>
      </c>
      <c r="G57" s="23" t="s">
        <v>4329</v>
      </c>
    </row>
    <row r="58" spans="1:7" ht="15.75" thickBot="1">
      <c r="A58" s="21" t="s">
        <v>4330</v>
      </c>
      <c r="B58" s="22" t="s">
        <v>4331</v>
      </c>
      <c r="C58" s="22" t="s">
        <v>4332</v>
      </c>
      <c r="D58" s="22" t="s">
        <v>4333</v>
      </c>
      <c r="E58" s="22" t="s">
        <v>4334</v>
      </c>
      <c r="F58" s="22" t="s">
        <v>4335</v>
      </c>
      <c r="G58" s="23" t="s">
        <v>4336</v>
      </c>
    </row>
    <row r="59" spans="1:7" ht="15.75" thickBot="1">
      <c r="A59" s="21" t="s">
        <v>4337</v>
      </c>
      <c r="B59" s="22" t="s">
        <v>4338</v>
      </c>
      <c r="C59" s="22" t="s">
        <v>4339</v>
      </c>
      <c r="D59" s="22" t="s">
        <v>4340</v>
      </c>
      <c r="E59" s="22" t="s">
        <v>4341</v>
      </c>
      <c r="F59" s="22" t="s">
        <v>4342</v>
      </c>
      <c r="G59" s="23" t="s">
        <v>4343</v>
      </c>
    </row>
    <row r="60" spans="1:7" ht="15.75" thickBot="1">
      <c r="A60" s="21" t="s">
        <v>4344</v>
      </c>
      <c r="B60" s="22" t="s">
        <v>4345</v>
      </c>
      <c r="C60" s="22" t="s">
        <v>4346</v>
      </c>
      <c r="D60" s="22" t="s">
        <v>4347</v>
      </c>
      <c r="E60" s="22" t="s">
        <v>4348</v>
      </c>
      <c r="F60" s="22" t="s">
        <v>4349</v>
      </c>
      <c r="G60" s="23" t="s">
        <v>4350</v>
      </c>
    </row>
    <row r="61" spans="1:7" ht="15.75" thickBot="1">
      <c r="A61" s="21" t="s">
        <v>4351</v>
      </c>
      <c r="B61" s="22" t="s">
        <v>4352</v>
      </c>
      <c r="C61" s="22" t="s">
        <v>4353</v>
      </c>
      <c r="D61" s="22" t="s">
        <v>4354</v>
      </c>
      <c r="E61" s="22" t="s">
        <v>4355</v>
      </c>
      <c r="F61" s="22" t="s">
        <v>4356</v>
      </c>
      <c r="G61" s="23" t="s">
        <v>4357</v>
      </c>
    </row>
    <row r="62" spans="1:7" ht="15.75" thickBot="1">
      <c r="A62" s="21" t="s">
        <v>4358</v>
      </c>
      <c r="B62" s="22" t="s">
        <v>4359</v>
      </c>
      <c r="C62" s="22" t="s">
        <v>4360</v>
      </c>
      <c r="D62" s="22" t="s">
        <v>4361</v>
      </c>
      <c r="E62" s="22" t="s">
        <v>4362</v>
      </c>
      <c r="F62" s="22" t="s">
        <v>4363</v>
      </c>
      <c r="G62" s="23" t="s">
        <v>4364</v>
      </c>
    </row>
    <row r="63" spans="1:7" ht="15.75" thickBot="1">
      <c r="A63" s="21" t="s">
        <v>4365</v>
      </c>
      <c r="B63" s="22" t="s">
        <v>4366</v>
      </c>
      <c r="C63" s="22" t="s">
        <v>4367</v>
      </c>
      <c r="D63" s="22" t="s">
        <v>4355</v>
      </c>
      <c r="E63" s="22" t="s">
        <v>4368</v>
      </c>
      <c r="F63" s="22" t="s">
        <v>4369</v>
      </c>
      <c r="G63" s="23" t="s">
        <v>4370</v>
      </c>
    </row>
    <row r="64" spans="1:7" ht="15.75" thickBot="1">
      <c r="A64" s="21" t="s">
        <v>4371</v>
      </c>
      <c r="B64" s="22" t="s">
        <v>4372</v>
      </c>
      <c r="C64" s="22" t="s">
        <v>4305</v>
      </c>
      <c r="D64" s="22" t="s">
        <v>4373</v>
      </c>
      <c r="E64" s="22" t="s">
        <v>4374</v>
      </c>
      <c r="F64" s="22" t="s">
        <v>4375</v>
      </c>
      <c r="G64" s="23" t="s">
        <v>4376</v>
      </c>
    </row>
    <row r="65" spans="1:7" ht="15.75" thickBot="1">
      <c r="A65" s="21" t="s">
        <v>4377</v>
      </c>
      <c r="B65" s="22" t="s">
        <v>4378</v>
      </c>
      <c r="C65" s="22" t="s">
        <v>4324</v>
      </c>
      <c r="D65" s="22" t="s">
        <v>4379</v>
      </c>
      <c r="E65" s="22" t="s">
        <v>4380</v>
      </c>
      <c r="F65" s="22" t="s">
        <v>4381</v>
      </c>
      <c r="G65" s="23" t="s">
        <v>4382</v>
      </c>
    </row>
    <row r="66" spans="1:7" ht="15.75" thickBot="1">
      <c r="A66" s="21" t="s">
        <v>4383</v>
      </c>
      <c r="B66" s="22" t="s">
        <v>4384</v>
      </c>
      <c r="C66" s="22" t="s">
        <v>4345</v>
      </c>
      <c r="D66" s="22" t="s">
        <v>4385</v>
      </c>
      <c r="E66" s="22" t="s">
        <v>4386</v>
      </c>
      <c r="F66" s="22" t="s">
        <v>4387</v>
      </c>
      <c r="G66" s="23" t="s">
        <v>4388</v>
      </c>
    </row>
    <row r="67" spans="1:7" ht="15.75" thickBot="1">
      <c r="A67" s="21" t="s">
        <v>4389</v>
      </c>
      <c r="B67" s="22" t="s">
        <v>4390</v>
      </c>
      <c r="C67" s="22" t="s">
        <v>4391</v>
      </c>
      <c r="D67" s="22" t="s">
        <v>4392</v>
      </c>
      <c r="E67" s="22" t="s">
        <v>4393</v>
      </c>
      <c r="F67" s="22" t="s">
        <v>4394</v>
      </c>
      <c r="G67" s="23" t="s">
        <v>4395</v>
      </c>
    </row>
    <row r="68" spans="1:7" ht="15.75" thickBot="1">
      <c r="A68" s="21" t="s">
        <v>4396</v>
      </c>
      <c r="B68" s="22" t="s">
        <v>4397</v>
      </c>
      <c r="C68" s="22" t="s">
        <v>4366</v>
      </c>
      <c r="D68" s="22" t="s">
        <v>4398</v>
      </c>
      <c r="E68" s="22" t="s">
        <v>4399</v>
      </c>
      <c r="F68" s="22" t="s">
        <v>4400</v>
      </c>
      <c r="G68" s="23" t="s">
        <v>4401</v>
      </c>
    </row>
    <row r="69" spans="1:7" ht="15.75" thickBot="1">
      <c r="A69" s="21" t="s">
        <v>4402</v>
      </c>
      <c r="B69" s="22" t="s">
        <v>4403</v>
      </c>
      <c r="C69" s="22" t="s">
        <v>4372</v>
      </c>
      <c r="D69" s="22" t="s">
        <v>4404</v>
      </c>
      <c r="E69" s="22" t="s">
        <v>4405</v>
      </c>
      <c r="F69" s="22" t="s">
        <v>4406</v>
      </c>
      <c r="G69" s="23" t="s">
        <v>4407</v>
      </c>
    </row>
    <row r="70" spans="1:7" ht="15.75" thickBot="1">
      <c r="A70" s="21" t="s">
        <v>4408</v>
      </c>
      <c r="B70" s="22" t="s">
        <v>4409</v>
      </c>
      <c r="C70" s="22" t="s">
        <v>4410</v>
      </c>
      <c r="D70" s="22" t="s">
        <v>4411</v>
      </c>
      <c r="E70" s="22" t="s">
        <v>4412</v>
      </c>
      <c r="F70" s="22" t="s">
        <v>4413</v>
      </c>
      <c r="G70" s="23" t="s">
        <v>4414</v>
      </c>
    </row>
    <row r="71" spans="1:7" ht="15.75" thickBot="1">
      <c r="A71" s="21" t="s">
        <v>4415</v>
      </c>
      <c r="B71" s="22" t="s">
        <v>4416</v>
      </c>
      <c r="C71" s="22" t="s">
        <v>4417</v>
      </c>
      <c r="D71" s="22" t="s">
        <v>4418</v>
      </c>
      <c r="E71" s="22" t="s">
        <v>4419</v>
      </c>
      <c r="F71" s="22" t="s">
        <v>4420</v>
      </c>
      <c r="G71" s="23" t="s">
        <v>4421</v>
      </c>
    </row>
    <row r="72" spans="1:7" ht="15.75" thickBot="1">
      <c r="A72" s="21" t="s">
        <v>4422</v>
      </c>
      <c r="B72" s="22" t="s">
        <v>4423</v>
      </c>
      <c r="C72" s="22" t="s">
        <v>4424</v>
      </c>
      <c r="D72" s="22" t="s">
        <v>4425</v>
      </c>
      <c r="E72" s="22" t="s">
        <v>4426</v>
      </c>
      <c r="F72" s="22" t="s">
        <v>4427</v>
      </c>
      <c r="G72" s="23" t="s">
        <v>4428</v>
      </c>
    </row>
    <row r="73" spans="1:7" ht="15.75" thickBot="1">
      <c r="A73" s="21" t="s">
        <v>4429</v>
      </c>
      <c r="B73" s="22" t="s">
        <v>4430</v>
      </c>
      <c r="C73" s="22" t="s">
        <v>4431</v>
      </c>
      <c r="D73" s="22" t="s">
        <v>4432</v>
      </c>
      <c r="E73" s="22" t="s">
        <v>4433</v>
      </c>
      <c r="F73" s="22" t="s">
        <v>4434</v>
      </c>
      <c r="G73" s="23" t="s">
        <v>4435</v>
      </c>
    </row>
    <row r="74" spans="1:7" ht="15.75" thickBot="1">
      <c r="A74" s="21" t="s">
        <v>4436</v>
      </c>
      <c r="B74" s="22" t="s">
        <v>4437</v>
      </c>
      <c r="C74" s="22" t="s">
        <v>4438</v>
      </c>
      <c r="D74" s="22" t="s">
        <v>4439</v>
      </c>
      <c r="E74" s="22" t="s">
        <v>4440</v>
      </c>
      <c r="F74" s="22" t="s">
        <v>4441</v>
      </c>
      <c r="G74" s="23" t="s">
        <v>4442</v>
      </c>
    </row>
    <row r="75" spans="1:7" ht="15.75" thickBot="1">
      <c r="A75" s="21" t="s">
        <v>4443</v>
      </c>
      <c r="B75" s="22" t="s">
        <v>4444</v>
      </c>
      <c r="C75" s="22" t="s">
        <v>4445</v>
      </c>
      <c r="D75" s="22" t="s">
        <v>4446</v>
      </c>
      <c r="E75" s="22" t="s">
        <v>4447</v>
      </c>
      <c r="F75" s="22" t="s">
        <v>4448</v>
      </c>
      <c r="G75" s="23" t="s">
        <v>4449</v>
      </c>
    </row>
    <row r="76" spans="1:7" ht="15.75" thickBot="1">
      <c r="A76" s="21" t="s">
        <v>4450</v>
      </c>
      <c r="B76" s="22" t="s">
        <v>4451</v>
      </c>
      <c r="C76" s="22" t="s">
        <v>4452</v>
      </c>
      <c r="D76" s="22" t="s">
        <v>4453</v>
      </c>
      <c r="E76" s="22" t="s">
        <v>4454</v>
      </c>
      <c r="F76" s="22" t="s">
        <v>4455</v>
      </c>
      <c r="G76" s="23" t="s">
        <v>4456</v>
      </c>
    </row>
    <row r="77" spans="1:7" ht="15.75" thickBot="1">
      <c r="A77" s="21" t="s">
        <v>4457</v>
      </c>
      <c r="B77" s="22" t="s">
        <v>4458</v>
      </c>
      <c r="C77" s="22" t="s">
        <v>4458</v>
      </c>
      <c r="D77" s="22" t="s">
        <v>4459</v>
      </c>
      <c r="E77" s="22" t="s">
        <v>4460</v>
      </c>
      <c r="F77" s="22" t="s">
        <v>4461</v>
      </c>
      <c r="G77" s="23" t="s">
        <v>4462</v>
      </c>
    </row>
    <row r="78" spans="1:7" ht="15.75" thickBot="1">
      <c r="A78" s="21" t="s">
        <v>4463</v>
      </c>
      <c r="B78" s="22" t="s">
        <v>4464</v>
      </c>
      <c r="C78" s="22" t="s">
        <v>4465</v>
      </c>
      <c r="D78" s="22" t="s">
        <v>4466</v>
      </c>
      <c r="E78" s="22" t="s">
        <v>4467</v>
      </c>
      <c r="F78" s="22" t="s">
        <v>4468</v>
      </c>
      <c r="G78" s="23" t="s">
        <v>4469</v>
      </c>
    </row>
    <row r="79" spans="1:7" ht="15.75" thickBot="1">
      <c r="A79" s="21" t="s">
        <v>4470</v>
      </c>
      <c r="B79" s="22" t="s">
        <v>4471</v>
      </c>
      <c r="C79" s="22" t="s">
        <v>4472</v>
      </c>
      <c r="D79" s="22" t="s">
        <v>4473</v>
      </c>
      <c r="E79" s="22" t="s">
        <v>4474</v>
      </c>
      <c r="F79" s="22" t="s">
        <v>4475</v>
      </c>
      <c r="G79" s="23" t="s">
        <v>4476</v>
      </c>
    </row>
    <row r="80" spans="1:7" ht="15.75" thickBot="1">
      <c r="A80" s="21" t="s">
        <v>4477</v>
      </c>
      <c r="B80" s="22" t="s">
        <v>4472</v>
      </c>
      <c r="C80" s="22" t="s">
        <v>4478</v>
      </c>
      <c r="D80" s="22" t="s">
        <v>4479</v>
      </c>
      <c r="E80" s="22" t="s">
        <v>4480</v>
      </c>
      <c r="F80" s="22" t="s">
        <v>4481</v>
      </c>
      <c r="G80" s="23" t="s">
        <v>4482</v>
      </c>
    </row>
    <row r="81" spans="1:7" ht="15.75" thickBot="1">
      <c r="A81" s="21" t="s">
        <v>4483</v>
      </c>
      <c r="B81" s="22" t="s">
        <v>4484</v>
      </c>
      <c r="C81" s="22" t="s">
        <v>4485</v>
      </c>
      <c r="D81" s="22" t="s">
        <v>4486</v>
      </c>
      <c r="E81" s="22" t="s">
        <v>4487</v>
      </c>
      <c r="F81" s="22" t="s">
        <v>4488</v>
      </c>
      <c r="G81" s="23" t="s">
        <v>4489</v>
      </c>
    </row>
    <row r="82" spans="1:7" ht="15.75" thickBot="1">
      <c r="A82" s="21" t="s">
        <v>4490</v>
      </c>
      <c r="B82" s="22" t="s">
        <v>4491</v>
      </c>
      <c r="C82" s="22" t="s">
        <v>4492</v>
      </c>
      <c r="D82" s="22" t="s">
        <v>4493</v>
      </c>
      <c r="E82" s="22" t="s">
        <v>4494</v>
      </c>
      <c r="F82" s="22" t="s">
        <v>4495</v>
      </c>
      <c r="G82" s="23" t="s">
        <v>4496</v>
      </c>
    </row>
    <row r="83" spans="1:7" ht="15.75" thickBot="1">
      <c r="A83" s="21" t="s">
        <v>4497</v>
      </c>
      <c r="B83" s="22" t="s">
        <v>4498</v>
      </c>
      <c r="C83" s="22" t="s">
        <v>4499</v>
      </c>
      <c r="D83" s="22" t="s">
        <v>4500</v>
      </c>
      <c r="E83" s="22" t="s">
        <v>4501</v>
      </c>
      <c r="F83" s="22" t="s">
        <v>4502</v>
      </c>
      <c r="G83" s="23" t="s">
        <v>4503</v>
      </c>
    </row>
    <row r="84" spans="1:7" ht="15.75" thickBot="1">
      <c r="A84" s="21" t="s">
        <v>4504</v>
      </c>
      <c r="B84" s="22" t="s">
        <v>4492</v>
      </c>
      <c r="C84" s="22" t="s">
        <v>4505</v>
      </c>
      <c r="D84" s="22" t="s">
        <v>4506</v>
      </c>
      <c r="E84" s="22" t="s">
        <v>4507</v>
      </c>
      <c r="F84" s="22" t="s">
        <v>4508</v>
      </c>
      <c r="G84" s="23" t="s">
        <v>4509</v>
      </c>
    </row>
    <row r="85" spans="1:7" ht="15.75" thickBot="1">
      <c r="A85" s="21" t="s">
        <v>4510</v>
      </c>
      <c r="B85" s="22" t="s">
        <v>4511</v>
      </c>
      <c r="C85" s="22" t="s">
        <v>4512</v>
      </c>
      <c r="D85" s="22" t="s">
        <v>4513</v>
      </c>
      <c r="E85" s="22" t="s">
        <v>4514</v>
      </c>
      <c r="F85" s="22" t="s">
        <v>4515</v>
      </c>
      <c r="G85" s="23" t="s">
        <v>4516</v>
      </c>
    </row>
    <row r="86" spans="1:7" ht="15.75" thickBot="1">
      <c r="A86" s="21" t="s">
        <v>4517</v>
      </c>
      <c r="B86" s="22" t="s">
        <v>4518</v>
      </c>
      <c r="C86" s="22" t="s">
        <v>4519</v>
      </c>
      <c r="D86" s="22" t="s">
        <v>4520</v>
      </c>
      <c r="E86" s="22" t="s">
        <v>4521</v>
      </c>
      <c r="F86" s="22" t="s">
        <v>4522</v>
      </c>
      <c r="G86" s="23" t="s">
        <v>4523</v>
      </c>
    </row>
    <row r="87" spans="1:7" ht="15.75" thickBot="1">
      <c r="A87" s="21" t="s">
        <v>4524</v>
      </c>
      <c r="B87" s="22" t="s">
        <v>4525</v>
      </c>
      <c r="C87" s="22" t="s">
        <v>4526</v>
      </c>
      <c r="D87" s="22" t="s">
        <v>4527</v>
      </c>
      <c r="E87" s="22" t="s">
        <v>4528</v>
      </c>
      <c r="F87" s="22" t="s">
        <v>4529</v>
      </c>
      <c r="G87" s="23" t="s">
        <v>4530</v>
      </c>
    </row>
    <row r="88" spans="1:7" ht="15.75" thickBot="1">
      <c r="A88" s="21" t="s">
        <v>4531</v>
      </c>
      <c r="B88" s="22" t="s">
        <v>4532</v>
      </c>
      <c r="C88" s="22" t="s">
        <v>4533</v>
      </c>
      <c r="D88" s="22" t="s">
        <v>4534</v>
      </c>
      <c r="E88" s="22" t="s">
        <v>4535</v>
      </c>
      <c r="F88" s="22" t="s">
        <v>4536</v>
      </c>
      <c r="G88" s="23" t="s">
        <v>4537</v>
      </c>
    </row>
    <row r="89" spans="1:7" ht="15.75" thickBot="1">
      <c r="A89" s="21" t="s">
        <v>4538</v>
      </c>
      <c r="B89" s="22" t="s">
        <v>4539</v>
      </c>
      <c r="C89" s="22" t="s">
        <v>4540</v>
      </c>
      <c r="D89" s="22" t="s">
        <v>4541</v>
      </c>
      <c r="E89" s="22" t="s">
        <v>4542</v>
      </c>
      <c r="F89" s="22" t="s">
        <v>4543</v>
      </c>
      <c r="G89" s="23" t="s">
        <v>4544</v>
      </c>
    </row>
    <row r="90" spans="1:7" ht="15.75" thickBot="1">
      <c r="A90" s="21" t="s">
        <v>4545</v>
      </c>
      <c r="B90" s="22" t="s">
        <v>4546</v>
      </c>
      <c r="C90" s="22" t="s">
        <v>4539</v>
      </c>
      <c r="D90" s="22" t="s">
        <v>4547</v>
      </c>
      <c r="E90" s="22" t="s">
        <v>4548</v>
      </c>
      <c r="F90" s="22" t="s">
        <v>4549</v>
      </c>
      <c r="G90" s="23" t="s">
        <v>4550</v>
      </c>
    </row>
    <row r="91" spans="1:7" ht="15.75" thickBot="1">
      <c r="A91" s="21" t="s">
        <v>4551</v>
      </c>
      <c r="B91" s="22" t="s">
        <v>4552</v>
      </c>
      <c r="C91" s="22" t="s">
        <v>4553</v>
      </c>
      <c r="D91" s="22" t="s">
        <v>4554</v>
      </c>
      <c r="E91" s="22" t="s">
        <v>4555</v>
      </c>
      <c r="F91" s="22" t="s">
        <v>4556</v>
      </c>
      <c r="G91" s="23" t="s">
        <v>4557</v>
      </c>
    </row>
    <row r="92" spans="1:7" ht="15.75" thickBot="1">
      <c r="A92" s="21" t="s">
        <v>4558</v>
      </c>
      <c r="B92" s="22" t="s">
        <v>4559</v>
      </c>
      <c r="C92" s="22" t="s">
        <v>4559</v>
      </c>
      <c r="D92" s="22" t="s">
        <v>4560</v>
      </c>
      <c r="E92" s="22" t="s">
        <v>4561</v>
      </c>
      <c r="F92" s="22" t="s">
        <v>4562</v>
      </c>
      <c r="G92" s="23" t="s">
        <v>4563</v>
      </c>
    </row>
    <row r="93" spans="1:7" ht="15.75" thickBot="1">
      <c r="A93" s="21" t="s">
        <v>4564</v>
      </c>
      <c r="B93" s="22" t="s">
        <v>4565</v>
      </c>
      <c r="C93" s="22" t="s">
        <v>4566</v>
      </c>
      <c r="D93" s="22" t="s">
        <v>4567</v>
      </c>
      <c r="E93" s="22" t="s">
        <v>4568</v>
      </c>
      <c r="F93" s="22" t="s">
        <v>4569</v>
      </c>
      <c r="G93" s="23" t="s">
        <v>4570</v>
      </c>
    </row>
    <row r="94" spans="1:7" ht="15.75" thickBot="1">
      <c r="A94" s="21" t="s">
        <v>4571</v>
      </c>
      <c r="B94" s="22" t="s">
        <v>4572</v>
      </c>
      <c r="C94" s="22" t="s">
        <v>4573</v>
      </c>
      <c r="D94" s="22" t="s">
        <v>4574</v>
      </c>
      <c r="E94" s="22" t="s">
        <v>4575</v>
      </c>
      <c r="F94" s="22" t="s">
        <v>4576</v>
      </c>
      <c r="G94" s="23" t="s">
        <v>4577</v>
      </c>
    </row>
    <row r="95" spans="1:7" ht="15.75" thickBot="1">
      <c r="A95" s="21" t="s">
        <v>4578</v>
      </c>
      <c r="B95" s="22" t="s">
        <v>4579</v>
      </c>
      <c r="C95" s="22" t="s">
        <v>4580</v>
      </c>
      <c r="D95" s="22" t="s">
        <v>4581</v>
      </c>
      <c r="E95" s="22" t="s">
        <v>4582</v>
      </c>
      <c r="F95" s="22" t="s">
        <v>4583</v>
      </c>
      <c r="G95" s="23" t="s">
        <v>4584</v>
      </c>
    </row>
    <row r="96" spans="1:7" ht="15.75" thickBot="1">
      <c r="A96" s="21" t="s">
        <v>4585</v>
      </c>
      <c r="B96" s="22" t="s">
        <v>4586</v>
      </c>
      <c r="C96" s="22" t="s">
        <v>4587</v>
      </c>
      <c r="D96" s="22" t="s">
        <v>4588</v>
      </c>
      <c r="E96" s="22" t="s">
        <v>4589</v>
      </c>
      <c r="F96" s="22" t="s">
        <v>4590</v>
      </c>
      <c r="G96" s="23" t="s">
        <v>4591</v>
      </c>
    </row>
    <row r="97" spans="1:7" ht="15.75" thickBot="1">
      <c r="A97" s="21" t="s">
        <v>4592</v>
      </c>
      <c r="B97" s="22" t="s">
        <v>4593</v>
      </c>
      <c r="C97" s="22" t="s">
        <v>4594</v>
      </c>
      <c r="D97" s="22" t="s">
        <v>4595</v>
      </c>
      <c r="E97" s="22" t="s">
        <v>4589</v>
      </c>
      <c r="F97" s="22" t="s">
        <v>4596</v>
      </c>
      <c r="G97" s="23" t="s">
        <v>4288</v>
      </c>
    </row>
    <row r="98" spans="1:7" ht="15.75" thickBot="1">
      <c r="A98" s="21" t="s">
        <v>4597</v>
      </c>
      <c r="B98" s="22" t="s">
        <v>4598</v>
      </c>
      <c r="C98" s="22" t="s">
        <v>4599</v>
      </c>
      <c r="D98" s="22" t="s">
        <v>4600</v>
      </c>
      <c r="E98" s="22" t="s">
        <v>4601</v>
      </c>
      <c r="F98" s="22" t="s">
        <v>4602</v>
      </c>
      <c r="G98" s="23" t="s">
        <v>4381</v>
      </c>
    </row>
    <row r="99" spans="1:7" ht="15.75" thickBot="1">
      <c r="A99" s="21" t="s">
        <v>4603</v>
      </c>
      <c r="B99" s="22" t="s">
        <v>4604</v>
      </c>
      <c r="C99" s="22" t="s">
        <v>4605</v>
      </c>
      <c r="D99" s="22" t="s">
        <v>4606</v>
      </c>
      <c r="E99" s="22" t="s">
        <v>4607</v>
      </c>
      <c r="F99" s="22" t="s">
        <v>4608</v>
      </c>
      <c r="G99" s="23" t="s">
        <v>4387</v>
      </c>
    </row>
    <row r="100" spans="1:7" ht="15.75" thickBot="1">
      <c r="A100" s="21" t="s">
        <v>4609</v>
      </c>
      <c r="B100" s="22" t="s">
        <v>4610</v>
      </c>
      <c r="C100" s="22" t="s">
        <v>4611</v>
      </c>
      <c r="D100" s="22" t="s">
        <v>4612</v>
      </c>
      <c r="E100" s="22" t="s">
        <v>4613</v>
      </c>
      <c r="F100" s="22" t="s">
        <v>4614</v>
      </c>
      <c r="G100" s="23" t="s">
        <v>4400</v>
      </c>
    </row>
    <row r="101" spans="1:7" ht="15.75" thickBot="1">
      <c r="A101" s="21" t="s">
        <v>4615</v>
      </c>
      <c r="B101" s="22" t="s">
        <v>4616</v>
      </c>
      <c r="C101" s="22" t="s">
        <v>4617</v>
      </c>
      <c r="D101" s="22" t="s">
        <v>4618</v>
      </c>
      <c r="E101" s="22" t="s">
        <v>4619</v>
      </c>
      <c r="F101" s="22" t="s">
        <v>4620</v>
      </c>
      <c r="G101" s="23" t="s">
        <v>4621</v>
      </c>
    </row>
    <row r="102" spans="1:7" ht="15.75" thickBot="1">
      <c r="A102" s="21" t="s">
        <v>4622</v>
      </c>
      <c r="B102" s="22" t="s">
        <v>4623</v>
      </c>
      <c r="C102" s="22" t="s">
        <v>4610</v>
      </c>
      <c r="D102" s="22" t="s">
        <v>4624</v>
      </c>
      <c r="E102" s="22" t="s">
        <v>4625</v>
      </c>
      <c r="F102" s="22" t="s">
        <v>4626</v>
      </c>
      <c r="G102" s="23" t="s">
        <v>4627</v>
      </c>
    </row>
    <row r="103" spans="1:7" ht="15.75" thickBot="1">
      <c r="A103" s="21" t="s">
        <v>4628</v>
      </c>
      <c r="B103" s="22" t="s">
        <v>4629</v>
      </c>
      <c r="C103" s="22" t="s">
        <v>4630</v>
      </c>
      <c r="D103" s="22" t="s">
        <v>4631</v>
      </c>
      <c r="E103" s="22" t="s">
        <v>4632</v>
      </c>
      <c r="F103" s="22" t="s">
        <v>4633</v>
      </c>
      <c r="G103" s="23" t="s">
        <v>4481</v>
      </c>
    </row>
    <row r="104" spans="1:7" ht="15.75" thickBot="1">
      <c r="A104" s="21" t="s">
        <v>4634</v>
      </c>
      <c r="B104" s="22" t="s">
        <v>4635</v>
      </c>
      <c r="C104" s="22" t="s">
        <v>4636</v>
      </c>
      <c r="D104" s="22" t="s">
        <v>4637</v>
      </c>
      <c r="E104" s="22" t="s">
        <v>4638</v>
      </c>
      <c r="F104" s="22" t="s">
        <v>4639</v>
      </c>
      <c r="G104" s="23" t="s">
        <v>4640</v>
      </c>
    </row>
    <row r="105" spans="1:7" ht="15.75" thickBot="1">
      <c r="A105" s="21" t="s">
        <v>4641</v>
      </c>
      <c r="B105" s="22" t="s">
        <v>4642</v>
      </c>
      <c r="C105" s="22" t="s">
        <v>4635</v>
      </c>
      <c r="D105" s="22" t="s">
        <v>4643</v>
      </c>
      <c r="E105" s="22" t="s">
        <v>4644</v>
      </c>
      <c r="F105" s="22" t="s">
        <v>4645</v>
      </c>
      <c r="G105" s="23" t="s">
        <v>4646</v>
      </c>
    </row>
    <row r="106" spans="1:7" ht="15.75" thickBot="1">
      <c r="A106" s="21" t="s">
        <v>4647</v>
      </c>
      <c r="B106" s="22" t="s">
        <v>4648</v>
      </c>
      <c r="C106" s="22" t="s">
        <v>4649</v>
      </c>
      <c r="D106" s="22" t="s">
        <v>4650</v>
      </c>
      <c r="E106" s="22" t="s">
        <v>4651</v>
      </c>
      <c r="F106" s="22" t="s">
        <v>4652</v>
      </c>
      <c r="G106" s="23" t="s">
        <v>4608</v>
      </c>
    </row>
    <row r="107" spans="1:7" ht="15.75" thickBot="1">
      <c r="A107" s="24" t="s">
        <v>4653</v>
      </c>
      <c r="B107" s="25" t="s">
        <v>4654</v>
      </c>
      <c r="C107" s="25" t="s">
        <v>4654</v>
      </c>
      <c r="D107" s="25" t="s">
        <v>4655</v>
      </c>
      <c r="E107" s="25" t="s">
        <v>4656</v>
      </c>
      <c r="F107" s="25" t="s">
        <v>4657</v>
      </c>
      <c r="G107" s="26" t="s">
        <v>4658</v>
      </c>
    </row>
    <row r="108" spans="1:7" ht="15.75" thickTop="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9E1C9-D142-4F5F-8C78-BDDBB435DC9B}">
  <sheetPr codeName="Лист19">
    <tabColor rgb="FFFFFF00"/>
  </sheetPr>
  <dimension ref="A1:I32"/>
  <sheetViews>
    <sheetView workbookViewId="0">
      <selection activeCell="E67" sqref="E67"/>
    </sheetView>
  </sheetViews>
  <sheetFormatPr defaultRowHeight="15"/>
  <cols>
    <col min="1" max="16384" width="9.140625" style="6"/>
  </cols>
  <sheetData>
    <row r="1" spans="1:9" ht="18.75">
      <c r="A1" s="4" t="s">
        <v>4659</v>
      </c>
    </row>
    <row r="2" spans="1:9">
      <c r="A2" s="3" t="s">
        <v>4660</v>
      </c>
      <c r="D2" s="3" t="s">
        <v>4667</v>
      </c>
    </row>
    <row r="3" spans="1:9">
      <c r="A3" s="5" t="s">
        <v>4661</v>
      </c>
      <c r="D3" s="5" t="s">
        <v>4668</v>
      </c>
    </row>
    <row r="4" spans="1:9">
      <c r="A4" s="5" t="s">
        <v>4662</v>
      </c>
      <c r="D4" s="5" t="s">
        <v>4669</v>
      </c>
    </row>
    <row r="5" spans="1:9">
      <c r="A5" s="5" t="s">
        <v>4663</v>
      </c>
      <c r="D5" s="5" t="s">
        <v>4670</v>
      </c>
    </row>
    <row r="6" spans="1:9">
      <c r="A6" s="5" t="s">
        <v>4664</v>
      </c>
      <c r="D6" s="5" t="s">
        <v>4671</v>
      </c>
    </row>
    <row r="7" spans="1:9">
      <c r="A7" s="5" t="s">
        <v>4665</v>
      </c>
      <c r="D7" s="5" t="s">
        <v>4672</v>
      </c>
    </row>
    <row r="8" spans="1:9">
      <c r="A8" s="5" t="s">
        <v>4666</v>
      </c>
      <c r="D8" s="5" t="s">
        <v>4673</v>
      </c>
    </row>
    <row r="10" spans="1:9">
      <c r="A10" s="3" t="s">
        <v>4674</v>
      </c>
      <c r="E10" s="3" t="s">
        <v>4681</v>
      </c>
      <c r="I10" s="3" t="s">
        <v>4688</v>
      </c>
    </row>
    <row r="11" spans="1:9">
      <c r="A11" s="5" t="s">
        <v>4675</v>
      </c>
      <c r="E11" s="5" t="s">
        <v>4682</v>
      </c>
      <c r="I11" s="5" t="s">
        <v>4689</v>
      </c>
    </row>
    <row r="12" spans="1:9">
      <c r="A12" s="5" t="s">
        <v>4676</v>
      </c>
      <c r="E12" s="5" t="s">
        <v>4683</v>
      </c>
      <c r="I12" s="5" t="s">
        <v>4690</v>
      </c>
    </row>
    <row r="13" spans="1:9">
      <c r="A13" s="5" t="s">
        <v>4677</v>
      </c>
      <c r="E13" s="5" t="s">
        <v>4684</v>
      </c>
      <c r="I13" s="5" t="s">
        <v>4691</v>
      </c>
    </row>
    <row r="14" spans="1:9">
      <c r="A14" s="5" t="s">
        <v>4678</v>
      </c>
      <c r="E14" s="5" t="s">
        <v>4685</v>
      </c>
      <c r="I14" s="5" t="s">
        <v>4692</v>
      </c>
    </row>
    <row r="15" spans="1:9">
      <c r="A15" s="5" t="s">
        <v>4679</v>
      </c>
      <c r="E15" s="5" t="s">
        <v>4686</v>
      </c>
      <c r="I15" s="5" t="s">
        <v>4693</v>
      </c>
    </row>
    <row r="16" spans="1:9">
      <c r="A16" s="5" t="s">
        <v>4680</v>
      </c>
      <c r="E16" s="5" t="s">
        <v>4687</v>
      </c>
      <c r="I16" s="5" t="s">
        <v>4694</v>
      </c>
    </row>
    <row r="18" spans="1:9">
      <c r="A18" s="3" t="s">
        <v>4695</v>
      </c>
      <c r="E18" s="3" t="s">
        <v>4702</v>
      </c>
      <c r="I18" s="3" t="s">
        <v>4709</v>
      </c>
    </row>
    <row r="19" spans="1:9">
      <c r="A19" s="5" t="s">
        <v>4696</v>
      </c>
      <c r="E19" s="5" t="s">
        <v>4703</v>
      </c>
      <c r="I19" s="5" t="s">
        <v>4710</v>
      </c>
    </row>
    <row r="20" spans="1:9">
      <c r="A20" s="5" t="s">
        <v>4697</v>
      </c>
      <c r="E20" s="5" t="s">
        <v>4704</v>
      </c>
      <c r="I20" s="5" t="s">
        <v>4711</v>
      </c>
    </row>
    <row r="21" spans="1:9">
      <c r="A21" s="5" t="s">
        <v>4698</v>
      </c>
      <c r="E21" s="5" t="s">
        <v>4705</v>
      </c>
      <c r="I21" s="5" t="s">
        <v>4712</v>
      </c>
    </row>
    <row r="22" spans="1:9">
      <c r="A22" s="5" t="s">
        <v>4699</v>
      </c>
      <c r="E22" s="5" t="s">
        <v>4706</v>
      </c>
      <c r="I22" s="5" t="s">
        <v>4713</v>
      </c>
    </row>
    <row r="23" spans="1:9">
      <c r="A23" s="5" t="s">
        <v>4700</v>
      </c>
      <c r="E23" s="5" t="s">
        <v>4707</v>
      </c>
      <c r="I23" s="5" t="s">
        <v>4714</v>
      </c>
    </row>
    <row r="24" spans="1:9">
      <c r="A24" s="5" t="s">
        <v>4701</v>
      </c>
      <c r="E24" s="5" t="s">
        <v>4708</v>
      </c>
      <c r="I24" s="5" t="s">
        <v>4715</v>
      </c>
    </row>
    <row r="26" spans="1:9">
      <c r="A26" s="3" t="s">
        <v>4716</v>
      </c>
      <c r="E26" s="3" t="s">
        <v>4723</v>
      </c>
      <c r="I26" s="3" t="s">
        <v>4730</v>
      </c>
    </row>
    <row r="27" spans="1:9">
      <c r="A27" s="5" t="s">
        <v>4717</v>
      </c>
      <c r="E27" s="5" t="s">
        <v>4724</v>
      </c>
      <c r="I27" s="5" t="s">
        <v>4731</v>
      </c>
    </row>
    <row r="28" spans="1:9">
      <c r="A28" s="5" t="s">
        <v>4718</v>
      </c>
      <c r="E28" s="5" t="s">
        <v>4725</v>
      </c>
      <c r="I28" s="5" t="s">
        <v>4732</v>
      </c>
    </row>
    <row r="29" spans="1:9">
      <c r="A29" s="5" t="s">
        <v>4719</v>
      </c>
      <c r="E29" s="5" t="s">
        <v>4726</v>
      </c>
      <c r="I29" s="5" t="s">
        <v>4733</v>
      </c>
    </row>
    <row r="30" spans="1:9">
      <c r="A30" s="5" t="s">
        <v>4720</v>
      </c>
      <c r="E30" s="5" t="s">
        <v>4727</v>
      </c>
      <c r="I30" s="5" t="s">
        <v>4734</v>
      </c>
    </row>
    <row r="31" spans="1:9">
      <c r="A31" s="5" t="s">
        <v>4721</v>
      </c>
      <c r="E31" s="5" t="s">
        <v>4728</v>
      </c>
      <c r="I31" s="5" t="s">
        <v>4735</v>
      </c>
    </row>
    <row r="32" spans="1:9">
      <c r="A32" s="5" t="s">
        <v>4722</v>
      </c>
      <c r="E32" s="5" t="s">
        <v>4729</v>
      </c>
      <c r="I32" s="5" t="s">
        <v>4736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79F3D-3E4B-4230-991E-1545FDF5648C}">
  <sheetPr codeName="Лист23">
    <tabColor rgb="FFFFFF00"/>
  </sheetPr>
  <dimension ref="A1:I51"/>
  <sheetViews>
    <sheetView workbookViewId="0">
      <selection activeCell="E67" sqref="E67"/>
    </sheetView>
  </sheetViews>
  <sheetFormatPr defaultRowHeight="15"/>
  <cols>
    <col min="1" max="16384" width="9.140625" style="6"/>
  </cols>
  <sheetData>
    <row r="1" spans="1:5">
      <c r="A1" s="3" t="s">
        <v>4737</v>
      </c>
    </row>
    <row r="2" spans="1:5">
      <c r="A2" s="14" t="s">
        <v>4738</v>
      </c>
    </row>
    <row r="3" spans="1:5">
      <c r="A3" s="3" t="s">
        <v>4739</v>
      </c>
      <c r="E3" s="3" t="s">
        <v>4752</v>
      </c>
    </row>
    <row r="4" spans="1:5">
      <c r="A4" s="5" t="s">
        <v>4740</v>
      </c>
      <c r="E4" s="5" t="s">
        <v>4753</v>
      </c>
    </row>
    <row r="5" spans="1:5">
      <c r="A5" s="5" t="s">
        <v>4741</v>
      </c>
      <c r="E5" s="5" t="s">
        <v>4754</v>
      </c>
    </row>
    <row r="6" spans="1:5">
      <c r="A6" s="5" t="s">
        <v>4742</v>
      </c>
      <c r="E6" s="5" t="s">
        <v>4755</v>
      </c>
    </row>
    <row r="7" spans="1:5">
      <c r="A7" s="5" t="s">
        <v>4743</v>
      </c>
      <c r="E7" s="5" t="s">
        <v>4756</v>
      </c>
    </row>
    <row r="8" spans="1:5">
      <c r="A8" s="5" t="s">
        <v>4744</v>
      </c>
      <c r="E8" s="5" t="s">
        <v>4757</v>
      </c>
    </row>
    <row r="9" spans="1:5">
      <c r="A9" s="5" t="s">
        <v>4745</v>
      </c>
      <c r="E9" s="5" t="s">
        <v>4758</v>
      </c>
    </row>
    <row r="10" spans="1:5">
      <c r="A10" s="5" t="s">
        <v>4746</v>
      </c>
      <c r="E10" s="5" t="s">
        <v>4759</v>
      </c>
    </row>
    <row r="11" spans="1:5">
      <c r="A11" s="5" t="s">
        <v>4747</v>
      </c>
      <c r="E11" s="5" t="s">
        <v>4760</v>
      </c>
    </row>
    <row r="12" spans="1:5">
      <c r="A12" s="5" t="s">
        <v>4748</v>
      </c>
      <c r="E12" s="5" t="s">
        <v>4761</v>
      </c>
    </row>
    <row r="13" spans="1:5">
      <c r="A13" s="5" t="s">
        <v>4749</v>
      </c>
      <c r="E13" s="5" t="s">
        <v>4762</v>
      </c>
    </row>
    <row r="14" spans="1:5">
      <c r="A14" s="5" t="s">
        <v>4750</v>
      </c>
    </row>
    <row r="15" spans="1:5">
      <c r="A15" s="5" t="s">
        <v>4751</v>
      </c>
    </row>
    <row r="17" spans="1:5">
      <c r="A17" s="3" t="s">
        <v>4763</v>
      </c>
      <c r="E17" s="3" t="s">
        <v>4783</v>
      </c>
    </row>
    <row r="18" spans="1:5">
      <c r="A18" s="5" t="s">
        <v>294</v>
      </c>
      <c r="E18" s="5" t="s">
        <v>4784</v>
      </c>
    </row>
    <row r="19" spans="1:5">
      <c r="A19" s="5" t="s">
        <v>4764</v>
      </c>
      <c r="E19" s="5" t="s">
        <v>4785</v>
      </c>
    </row>
    <row r="20" spans="1:5">
      <c r="A20" s="5" t="s">
        <v>4765</v>
      </c>
      <c r="E20" s="5" t="s">
        <v>4786</v>
      </c>
    </row>
    <row r="21" spans="1:5">
      <c r="A21" s="5" t="s">
        <v>4766</v>
      </c>
      <c r="E21" s="5" t="s">
        <v>4787</v>
      </c>
    </row>
    <row r="22" spans="1:5">
      <c r="A22" s="5" t="s">
        <v>4767</v>
      </c>
      <c r="E22" s="5" t="s">
        <v>4788</v>
      </c>
    </row>
    <row r="23" spans="1:5">
      <c r="A23" s="5" t="s">
        <v>4768</v>
      </c>
      <c r="E23" s="5" t="s">
        <v>4789</v>
      </c>
    </row>
    <row r="24" spans="1:5">
      <c r="A24" s="5" t="s">
        <v>4769</v>
      </c>
    </row>
    <row r="25" spans="1:5">
      <c r="A25" s="5" t="s">
        <v>4770</v>
      </c>
      <c r="E25" s="3" t="s">
        <v>4790</v>
      </c>
    </row>
    <row r="26" spans="1:5">
      <c r="A26" s="5" t="s">
        <v>4771</v>
      </c>
      <c r="E26" s="5" t="s">
        <v>4791</v>
      </c>
    </row>
    <row r="27" spans="1:5">
      <c r="A27" s="5" t="s">
        <v>4772</v>
      </c>
      <c r="E27" s="5" t="s">
        <v>4792</v>
      </c>
    </row>
    <row r="28" spans="1:5">
      <c r="A28" s="5" t="s">
        <v>4773</v>
      </c>
      <c r="E28" s="5" t="s">
        <v>4793</v>
      </c>
    </row>
    <row r="29" spans="1:5">
      <c r="A29" s="5" t="s">
        <v>4774</v>
      </c>
      <c r="E29" s="5" t="s">
        <v>4794</v>
      </c>
    </row>
    <row r="30" spans="1:5">
      <c r="A30" s="5" t="s">
        <v>4775</v>
      </c>
      <c r="E30" s="5" t="s">
        <v>4795</v>
      </c>
    </row>
    <row r="31" spans="1:5">
      <c r="A31" s="5" t="s">
        <v>4776</v>
      </c>
      <c r="E31" s="5" t="s">
        <v>4796</v>
      </c>
    </row>
    <row r="32" spans="1:5">
      <c r="A32" s="5" t="s">
        <v>4777</v>
      </c>
      <c r="E32" s="5" t="s">
        <v>4797</v>
      </c>
    </row>
    <row r="33" spans="1:9">
      <c r="A33" s="5" t="s">
        <v>4778</v>
      </c>
      <c r="E33" s="5" t="s">
        <v>4798</v>
      </c>
    </row>
    <row r="34" spans="1:9">
      <c r="A34" s="5" t="s">
        <v>4779</v>
      </c>
    </row>
    <row r="35" spans="1:9">
      <c r="A35" s="5" t="s">
        <v>4780</v>
      </c>
    </row>
    <row r="36" spans="1:9">
      <c r="A36" s="5" t="s">
        <v>4781</v>
      </c>
    </row>
    <row r="37" spans="1:9">
      <c r="A37" s="5" t="s">
        <v>4782</v>
      </c>
    </row>
    <row r="39" spans="1:9">
      <c r="A39" s="3" t="s">
        <v>4808</v>
      </c>
      <c r="E39" s="3" t="s">
        <v>4821</v>
      </c>
      <c r="I39" s="3" t="s">
        <v>4799</v>
      </c>
    </row>
    <row r="40" spans="1:9">
      <c r="A40" s="5" t="s">
        <v>4809</v>
      </c>
      <c r="E40" s="5" t="s">
        <v>4822</v>
      </c>
      <c r="I40" s="5" t="s">
        <v>4800</v>
      </c>
    </row>
    <row r="41" spans="1:9">
      <c r="A41" s="5" t="s">
        <v>4810</v>
      </c>
      <c r="E41" s="5" t="s">
        <v>4823</v>
      </c>
      <c r="I41" s="5" t="s">
        <v>4801</v>
      </c>
    </row>
    <row r="42" spans="1:9">
      <c r="A42" s="5" t="s">
        <v>4811</v>
      </c>
      <c r="E42" s="5" t="s">
        <v>4824</v>
      </c>
      <c r="I42" s="5" t="s">
        <v>4802</v>
      </c>
    </row>
    <row r="43" spans="1:9">
      <c r="A43" s="5" t="s">
        <v>4812</v>
      </c>
      <c r="E43" s="5" t="s">
        <v>4825</v>
      </c>
      <c r="I43" s="5" t="s">
        <v>4803</v>
      </c>
    </row>
    <row r="44" spans="1:9">
      <c r="A44" s="5" t="s">
        <v>4813</v>
      </c>
      <c r="E44" s="5" t="s">
        <v>4826</v>
      </c>
      <c r="I44" s="5" t="s">
        <v>4804</v>
      </c>
    </row>
    <row r="45" spans="1:9">
      <c r="A45" s="5" t="s">
        <v>4814</v>
      </c>
      <c r="E45" s="5" t="s">
        <v>4827</v>
      </c>
      <c r="I45" s="5" t="s">
        <v>4805</v>
      </c>
    </row>
    <row r="46" spans="1:9">
      <c r="A46" s="5" t="s">
        <v>4815</v>
      </c>
      <c r="E46" s="5" t="s">
        <v>4828</v>
      </c>
      <c r="I46" s="5" t="s">
        <v>4806</v>
      </c>
    </row>
    <row r="47" spans="1:9">
      <c r="A47" s="5" t="s">
        <v>4816</v>
      </c>
      <c r="E47" s="5" t="s">
        <v>4829</v>
      </c>
      <c r="I47" s="5" t="s">
        <v>4807</v>
      </c>
    </row>
    <row r="48" spans="1:9">
      <c r="A48" s="5" t="s">
        <v>4817</v>
      </c>
      <c r="E48" s="5" t="s">
        <v>4830</v>
      </c>
    </row>
    <row r="49" spans="1:5">
      <c r="A49" s="5" t="s">
        <v>4818</v>
      </c>
      <c r="E49" s="5" t="s">
        <v>4831</v>
      </c>
    </row>
    <row r="50" spans="1:5">
      <c r="A50" s="5" t="s">
        <v>4819</v>
      </c>
      <c r="E50" s="5" t="s">
        <v>4832</v>
      </c>
    </row>
    <row r="51" spans="1:5">
      <c r="A51" s="5" t="s">
        <v>4820</v>
      </c>
      <c r="E51" s="5" t="s">
        <v>4833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D9CCD-0180-4519-9B38-6370E9C84EC1}">
  <sheetPr codeName="Лист26">
    <tabColor rgb="FFFFFF00"/>
  </sheetPr>
  <dimension ref="A1:M74"/>
  <sheetViews>
    <sheetView workbookViewId="0">
      <selection activeCell="E67" sqref="E67"/>
    </sheetView>
  </sheetViews>
  <sheetFormatPr defaultRowHeight="15"/>
  <cols>
    <col min="1" max="1" width="9.28515625" style="6" customWidth="1"/>
    <col min="2" max="16384" width="9.140625" style="6"/>
  </cols>
  <sheetData>
    <row r="1" spans="1:13" ht="18.75">
      <c r="A1" s="4" t="s">
        <v>1152</v>
      </c>
    </row>
    <row r="2" spans="1:13">
      <c r="A2" s="14" t="s">
        <v>1153</v>
      </c>
    </row>
    <row r="3" spans="1:13">
      <c r="A3" s="3" t="s">
        <v>1154</v>
      </c>
      <c r="E3" s="3" t="s">
        <v>1165</v>
      </c>
      <c r="I3" s="3" t="s">
        <v>1217</v>
      </c>
      <c r="M3" s="3" t="s">
        <v>1228</v>
      </c>
    </row>
    <row r="4" spans="1:13">
      <c r="A4" s="5" t="s">
        <v>1155</v>
      </c>
      <c r="E4" s="5" t="s">
        <v>330</v>
      </c>
      <c r="I4" s="5" t="s">
        <v>1218</v>
      </c>
      <c r="M4" s="5" t="s">
        <v>1229</v>
      </c>
    </row>
    <row r="5" spans="1:13">
      <c r="A5" s="5" t="s">
        <v>1156</v>
      </c>
      <c r="E5" s="5" t="s">
        <v>1166</v>
      </c>
      <c r="I5" s="5" t="s">
        <v>1219</v>
      </c>
      <c r="M5" s="5" t="s">
        <v>1230</v>
      </c>
    </row>
    <row r="6" spans="1:13">
      <c r="A6" s="5" t="s">
        <v>1157</v>
      </c>
      <c r="E6" s="5" t="s">
        <v>1167</v>
      </c>
      <c r="I6" s="5" t="s">
        <v>1220</v>
      </c>
      <c r="M6" s="5" t="s">
        <v>1231</v>
      </c>
    </row>
    <row r="7" spans="1:13">
      <c r="A7" s="5" t="s">
        <v>1158</v>
      </c>
      <c r="E7" s="5" t="s">
        <v>1168</v>
      </c>
      <c r="I7" s="5" t="s">
        <v>1221</v>
      </c>
      <c r="M7" s="5" t="s">
        <v>1232</v>
      </c>
    </row>
    <row r="8" spans="1:13">
      <c r="A8" s="5" t="s">
        <v>1159</v>
      </c>
      <c r="E8" s="5" t="s">
        <v>1169</v>
      </c>
      <c r="I8" s="5" t="s">
        <v>1222</v>
      </c>
      <c r="M8" s="5" t="s">
        <v>1233</v>
      </c>
    </row>
    <row r="9" spans="1:13">
      <c r="A9" s="5" t="s">
        <v>1160</v>
      </c>
      <c r="E9" s="5" t="s">
        <v>1170</v>
      </c>
      <c r="I9" s="5" t="s">
        <v>1223</v>
      </c>
      <c r="M9" s="5" t="s">
        <v>1234</v>
      </c>
    </row>
    <row r="10" spans="1:13">
      <c r="A10" s="5" t="s">
        <v>1161</v>
      </c>
      <c r="E10" s="5" t="s">
        <v>1171</v>
      </c>
      <c r="I10" s="5" t="s">
        <v>1224</v>
      </c>
      <c r="M10" s="5" t="s">
        <v>1235</v>
      </c>
    </row>
    <row r="11" spans="1:13">
      <c r="A11" s="5" t="s">
        <v>1162</v>
      </c>
      <c r="E11" s="5" t="s">
        <v>1172</v>
      </c>
      <c r="I11" s="5" t="s">
        <v>1225</v>
      </c>
      <c r="M11" s="5" t="s">
        <v>1236</v>
      </c>
    </row>
    <row r="12" spans="1:13">
      <c r="A12" s="5" t="s">
        <v>1163</v>
      </c>
      <c r="E12" s="5" t="s">
        <v>1173</v>
      </c>
      <c r="I12" s="5" t="s">
        <v>1226</v>
      </c>
      <c r="M12" s="5" t="s">
        <v>1237</v>
      </c>
    </row>
    <row r="13" spans="1:13">
      <c r="A13" s="5" t="s">
        <v>1164</v>
      </c>
      <c r="E13" s="5" t="s">
        <v>1174</v>
      </c>
      <c r="I13" s="5" t="s">
        <v>1227</v>
      </c>
      <c r="M13" s="5" t="s">
        <v>1238</v>
      </c>
    </row>
    <row r="15" spans="1:13">
      <c r="A15" s="3" t="s">
        <v>1175</v>
      </c>
      <c r="E15" s="3" t="s">
        <v>1188</v>
      </c>
      <c r="I15" s="3" t="s">
        <v>1250</v>
      </c>
    </row>
    <row r="16" spans="1:13">
      <c r="A16" s="5" t="s">
        <v>1176</v>
      </c>
      <c r="E16" s="5" t="s">
        <v>1189</v>
      </c>
      <c r="I16" s="5" t="s">
        <v>1251</v>
      </c>
    </row>
    <row r="17" spans="1:9">
      <c r="A17" s="5" t="s">
        <v>1177</v>
      </c>
      <c r="E17" s="5" t="s">
        <v>1190</v>
      </c>
      <c r="I17" s="5" t="s">
        <v>1252</v>
      </c>
    </row>
    <row r="18" spans="1:9">
      <c r="A18" s="5" t="s">
        <v>1178</v>
      </c>
      <c r="E18" s="5" t="s">
        <v>1191</v>
      </c>
      <c r="I18" s="5" t="s">
        <v>1253</v>
      </c>
    </row>
    <row r="19" spans="1:9">
      <c r="A19" s="5" t="s">
        <v>1179</v>
      </c>
      <c r="E19" s="5" t="s">
        <v>1192</v>
      </c>
      <c r="I19" s="5" t="s">
        <v>1254</v>
      </c>
    </row>
    <row r="20" spans="1:9">
      <c r="A20" s="5" t="s">
        <v>1180</v>
      </c>
      <c r="E20" s="5" t="s">
        <v>1193</v>
      </c>
      <c r="I20" s="5" t="s">
        <v>1255</v>
      </c>
    </row>
    <row r="21" spans="1:9">
      <c r="A21" s="5" t="s">
        <v>1181</v>
      </c>
      <c r="E21" s="5" t="s">
        <v>1194</v>
      </c>
      <c r="I21" s="5" t="s">
        <v>1256</v>
      </c>
    </row>
    <row r="22" spans="1:9">
      <c r="A22" s="5" t="s">
        <v>1182</v>
      </c>
      <c r="E22" s="5" t="s">
        <v>1195</v>
      </c>
      <c r="I22" s="5" t="s">
        <v>1257</v>
      </c>
    </row>
    <row r="23" spans="1:9">
      <c r="A23" s="5" t="s">
        <v>1183</v>
      </c>
      <c r="E23" s="5" t="s">
        <v>1196</v>
      </c>
      <c r="I23" s="5" t="s">
        <v>1258</v>
      </c>
    </row>
    <row r="24" spans="1:9">
      <c r="A24" s="5" t="s">
        <v>1184</v>
      </c>
      <c r="E24" s="5" t="s">
        <v>1197</v>
      </c>
      <c r="I24" s="5" t="s">
        <v>1259</v>
      </c>
    </row>
    <row r="25" spans="1:9">
      <c r="A25" s="5" t="s">
        <v>1185</v>
      </c>
      <c r="E25" s="5" t="s">
        <v>1198</v>
      </c>
      <c r="I25" s="5" t="s">
        <v>1260</v>
      </c>
    </row>
    <row r="26" spans="1:9">
      <c r="A26" s="5" t="s">
        <v>1186</v>
      </c>
      <c r="E26" s="5" t="s">
        <v>1199</v>
      </c>
      <c r="I26" s="5" t="s">
        <v>1261</v>
      </c>
    </row>
    <row r="27" spans="1:9">
      <c r="A27" s="5" t="s">
        <v>1187</v>
      </c>
      <c r="E27" s="5" t="s">
        <v>1200</v>
      </c>
      <c r="I27" s="5" t="s">
        <v>1262</v>
      </c>
    </row>
    <row r="29" spans="1:9">
      <c r="A29" s="3" t="s">
        <v>1201</v>
      </c>
      <c r="E29" s="3" t="s">
        <v>1208</v>
      </c>
      <c r="I29" s="3" t="s">
        <v>1239</v>
      </c>
    </row>
    <row r="30" spans="1:9">
      <c r="A30" s="5" t="s">
        <v>1202</v>
      </c>
      <c r="E30" s="5" t="s">
        <v>1209</v>
      </c>
      <c r="I30" s="5" t="s">
        <v>1240</v>
      </c>
    </row>
    <row r="31" spans="1:9">
      <c r="A31" s="5" t="s">
        <v>1203</v>
      </c>
      <c r="E31" s="5" t="s">
        <v>1210</v>
      </c>
      <c r="I31" s="5" t="s">
        <v>1241</v>
      </c>
    </row>
    <row r="32" spans="1:9">
      <c r="A32" s="5" t="s">
        <v>1204</v>
      </c>
      <c r="E32" s="5" t="s">
        <v>1211</v>
      </c>
      <c r="I32" s="5" t="s">
        <v>1242</v>
      </c>
    </row>
    <row r="33" spans="1:9">
      <c r="A33" s="5" t="s">
        <v>1205</v>
      </c>
      <c r="E33" s="5" t="s">
        <v>1212</v>
      </c>
      <c r="I33" s="5" t="s">
        <v>1243</v>
      </c>
    </row>
    <row r="34" spans="1:9">
      <c r="A34" s="5" t="s">
        <v>1206</v>
      </c>
      <c r="E34" s="5" t="s">
        <v>1213</v>
      </c>
      <c r="I34" s="5" t="s">
        <v>1244</v>
      </c>
    </row>
    <row r="35" spans="1:9">
      <c r="A35" s="5" t="s">
        <v>1207</v>
      </c>
      <c r="E35" s="5" t="s">
        <v>1214</v>
      </c>
      <c r="I35" s="5" t="s">
        <v>1245</v>
      </c>
    </row>
    <row r="36" spans="1:9">
      <c r="E36" s="5" t="s">
        <v>1215</v>
      </c>
      <c r="I36" s="5" t="s">
        <v>1246</v>
      </c>
    </row>
    <row r="37" spans="1:9">
      <c r="E37" s="5" t="s">
        <v>1216</v>
      </c>
      <c r="I37" s="5" t="s">
        <v>1247</v>
      </c>
    </row>
    <row r="38" spans="1:9">
      <c r="I38" s="5" t="s">
        <v>1248</v>
      </c>
    </row>
    <row r="39" spans="1:9">
      <c r="I39" s="5" t="s">
        <v>1249</v>
      </c>
    </row>
    <row r="41" spans="1:9">
      <c r="A41" s="3" t="s">
        <v>1263</v>
      </c>
    </row>
    <row r="42" spans="1:9">
      <c r="A42" s="3" t="s">
        <v>1264</v>
      </c>
      <c r="I42" s="3" t="s">
        <v>1275</v>
      </c>
    </row>
    <row r="43" spans="1:9">
      <c r="A43" s="5" t="s">
        <v>1265</v>
      </c>
      <c r="I43" s="5" t="s">
        <v>1276</v>
      </c>
    </row>
    <row r="44" spans="1:9">
      <c r="A44" s="5" t="s">
        <v>1266</v>
      </c>
      <c r="I44" s="5" t="s">
        <v>1277</v>
      </c>
    </row>
    <row r="45" spans="1:9">
      <c r="A45" s="5" t="s">
        <v>1267</v>
      </c>
      <c r="I45" s="5" t="s">
        <v>1278</v>
      </c>
    </row>
    <row r="46" spans="1:9">
      <c r="A46" s="5" t="s">
        <v>1268</v>
      </c>
      <c r="I46" s="5" t="s">
        <v>1279</v>
      </c>
    </row>
    <row r="47" spans="1:9">
      <c r="A47" s="5" t="s">
        <v>1269</v>
      </c>
      <c r="I47" s="5" t="s">
        <v>1280</v>
      </c>
    </row>
    <row r="48" spans="1:9">
      <c r="A48" s="5" t="s">
        <v>1270</v>
      </c>
      <c r="I48" s="5" t="s">
        <v>1281</v>
      </c>
    </row>
    <row r="49" spans="1:9">
      <c r="A49" s="5" t="s">
        <v>1271</v>
      </c>
    </row>
    <row r="50" spans="1:9">
      <c r="A50" s="5" t="s">
        <v>1272</v>
      </c>
    </row>
    <row r="51" spans="1:9">
      <c r="A51" s="5" t="s">
        <v>1273</v>
      </c>
    </row>
    <row r="52" spans="1:9">
      <c r="A52" s="5" t="s">
        <v>1274</v>
      </c>
    </row>
    <row r="54" spans="1:9">
      <c r="A54" s="3" t="s">
        <v>1282</v>
      </c>
    </row>
    <row r="55" spans="1:9">
      <c r="A55" s="3" t="s">
        <v>1283</v>
      </c>
      <c r="I55" s="3" t="s">
        <v>1290</v>
      </c>
    </row>
    <row r="56" spans="1:9">
      <c r="A56" s="5" t="s">
        <v>1284</v>
      </c>
      <c r="I56" s="5" t="s">
        <v>1291</v>
      </c>
    </row>
    <row r="57" spans="1:9">
      <c r="A57" s="5" t="s">
        <v>1285</v>
      </c>
      <c r="I57" s="5" t="s">
        <v>1292</v>
      </c>
    </row>
    <row r="58" spans="1:9">
      <c r="A58" s="5" t="s">
        <v>1286</v>
      </c>
      <c r="I58" s="5" t="s">
        <v>1293</v>
      </c>
    </row>
    <row r="59" spans="1:9">
      <c r="A59" s="5" t="s">
        <v>1287</v>
      </c>
      <c r="I59" s="5" t="s">
        <v>1294</v>
      </c>
    </row>
    <row r="60" spans="1:9">
      <c r="A60" s="5" t="s">
        <v>1288</v>
      </c>
      <c r="I60" s="5" t="s">
        <v>1295</v>
      </c>
    </row>
    <row r="61" spans="1:9">
      <c r="A61" s="5" t="s">
        <v>1289</v>
      </c>
      <c r="I61" s="5" t="s">
        <v>1296</v>
      </c>
    </row>
    <row r="62" spans="1:9">
      <c r="I62" s="5" t="s">
        <v>1297</v>
      </c>
    </row>
    <row r="63" spans="1:9">
      <c r="I63" s="5" t="s">
        <v>1298</v>
      </c>
    </row>
    <row r="65" spans="1:9">
      <c r="A65" s="3" t="s">
        <v>1299</v>
      </c>
    </row>
    <row r="66" spans="1:9">
      <c r="A66" s="3" t="s">
        <v>1300</v>
      </c>
      <c r="I66" s="3" t="s">
        <v>1307</v>
      </c>
    </row>
    <row r="67" spans="1:9">
      <c r="A67" s="5" t="s">
        <v>1301</v>
      </c>
      <c r="I67" s="5" t="s">
        <v>1308</v>
      </c>
    </row>
    <row r="68" spans="1:9">
      <c r="A68" s="5" t="s">
        <v>1302</v>
      </c>
      <c r="I68" s="5" t="s">
        <v>1309</v>
      </c>
    </row>
    <row r="69" spans="1:9">
      <c r="A69" s="5" t="s">
        <v>1303</v>
      </c>
      <c r="I69" s="5" t="s">
        <v>1310</v>
      </c>
    </row>
    <row r="70" spans="1:9">
      <c r="A70" s="5" t="s">
        <v>1304</v>
      </c>
      <c r="I70" s="5" t="s">
        <v>1311</v>
      </c>
    </row>
    <row r="71" spans="1:9">
      <c r="A71" s="5" t="s">
        <v>1305</v>
      </c>
      <c r="I71" s="5" t="s">
        <v>1312</v>
      </c>
    </row>
    <row r="72" spans="1:9">
      <c r="A72" s="5" t="s">
        <v>1306</v>
      </c>
      <c r="I72" s="5" t="s">
        <v>1313</v>
      </c>
    </row>
    <row r="73" spans="1:9">
      <c r="I73" s="5" t="s">
        <v>1314</v>
      </c>
    </row>
    <row r="74" spans="1:9">
      <c r="I74" s="5" t="s">
        <v>1315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049DD-C865-4924-8E9B-30DBBA05F5BC}">
  <sheetPr codeName="Лист27">
    <tabColor rgb="FFFFFF00"/>
  </sheetPr>
  <dimension ref="A1:I88"/>
  <sheetViews>
    <sheetView topLeftCell="A7" workbookViewId="0">
      <selection activeCell="E67" sqref="E67"/>
    </sheetView>
  </sheetViews>
  <sheetFormatPr defaultRowHeight="15"/>
  <cols>
    <col min="1" max="16384" width="9.140625" style="6"/>
  </cols>
  <sheetData>
    <row r="1" spans="1:5" ht="18.75">
      <c r="A1" s="4" t="s">
        <v>1316</v>
      </c>
    </row>
    <row r="2" spans="1:5">
      <c r="A2" s="14" t="s">
        <v>1317</v>
      </c>
    </row>
    <row r="3" spans="1:5">
      <c r="A3" s="3" t="s">
        <v>1318</v>
      </c>
    </row>
    <row r="4" spans="1:5">
      <c r="A4" s="5" t="s">
        <v>1319</v>
      </c>
    </row>
    <row r="5" spans="1:5">
      <c r="A5" s="5" t="s">
        <v>1320</v>
      </c>
    </row>
    <row r="6" spans="1:5">
      <c r="A6" s="5" t="s">
        <v>1321</v>
      </c>
    </row>
    <row r="7" spans="1:5">
      <c r="A7" s="5" t="s">
        <v>1322</v>
      </c>
    </row>
    <row r="8" spans="1:5">
      <c r="A8" s="5" t="s">
        <v>1323</v>
      </c>
    </row>
    <row r="9" spans="1:5">
      <c r="A9" s="5" t="s">
        <v>1324</v>
      </c>
    </row>
    <row r="10" spans="1:5">
      <c r="A10" s="5" t="s">
        <v>1325</v>
      </c>
    </row>
    <row r="11" spans="1:5">
      <c r="A11" s="5" t="s">
        <v>1326</v>
      </c>
    </row>
    <row r="12" spans="1:5">
      <c r="A12" s="5"/>
    </row>
    <row r="13" spans="1:5">
      <c r="A13" s="3" t="s">
        <v>1327</v>
      </c>
      <c r="E13" s="3" t="s">
        <v>1329</v>
      </c>
    </row>
    <row r="14" spans="1:5">
      <c r="A14" s="5" t="s">
        <v>330</v>
      </c>
      <c r="E14" s="5" t="s">
        <v>1176</v>
      </c>
    </row>
    <row r="15" spans="1:5">
      <c r="A15" s="5" t="s">
        <v>331</v>
      </c>
      <c r="E15" s="5" t="s">
        <v>1330</v>
      </c>
    </row>
    <row r="16" spans="1:5">
      <c r="A16" s="5" t="s">
        <v>332</v>
      </c>
      <c r="E16" s="5" t="s">
        <v>1331</v>
      </c>
    </row>
    <row r="17" spans="1:5">
      <c r="A17" s="5" t="s">
        <v>333</v>
      </c>
      <c r="E17" s="5" t="s">
        <v>1332</v>
      </c>
    </row>
    <row r="18" spans="1:5">
      <c r="A18" s="5" t="s">
        <v>334</v>
      </c>
      <c r="E18" s="5" t="s">
        <v>1333</v>
      </c>
    </row>
    <row r="19" spans="1:5">
      <c r="A19" s="5" t="s">
        <v>335</v>
      </c>
      <c r="E19" s="5" t="s">
        <v>1334</v>
      </c>
    </row>
    <row r="20" spans="1:5">
      <c r="A20" s="5" t="s">
        <v>336</v>
      </c>
      <c r="E20" s="5" t="s">
        <v>1335</v>
      </c>
    </row>
    <row r="21" spans="1:5">
      <c r="A21" s="5" t="s">
        <v>337</v>
      </c>
      <c r="E21" s="5" t="s">
        <v>1336</v>
      </c>
    </row>
    <row r="22" spans="1:5">
      <c r="A22" s="5" t="s">
        <v>338</v>
      </c>
      <c r="E22" s="5" t="s">
        <v>1337</v>
      </c>
    </row>
    <row r="23" spans="1:5">
      <c r="A23" s="5" t="s">
        <v>339</v>
      </c>
      <c r="E23" s="5" t="s">
        <v>1338</v>
      </c>
    </row>
    <row r="24" spans="1:5">
      <c r="A24" s="5" t="s">
        <v>340</v>
      </c>
      <c r="E24" s="5" t="s">
        <v>1339</v>
      </c>
    </row>
    <row r="25" spans="1:5">
      <c r="A25" s="5" t="s">
        <v>341</v>
      </c>
      <c r="E25" s="5" t="s">
        <v>1340</v>
      </c>
    </row>
    <row r="26" spans="1:5">
      <c r="A26" s="5" t="s">
        <v>342</v>
      </c>
      <c r="E26" s="5" t="s">
        <v>1341</v>
      </c>
    </row>
    <row r="27" spans="1:5">
      <c r="A27" s="5" t="s">
        <v>343</v>
      </c>
      <c r="E27" s="5" t="s">
        <v>1342</v>
      </c>
    </row>
    <row r="28" spans="1:5">
      <c r="A28" s="5" t="s">
        <v>344</v>
      </c>
      <c r="E28" s="5" t="s">
        <v>1343</v>
      </c>
    </row>
    <row r="29" spans="1:5">
      <c r="A29" s="5" t="s">
        <v>345</v>
      </c>
      <c r="E29" s="5" t="s">
        <v>1344</v>
      </c>
    </row>
    <row r="30" spans="1:5">
      <c r="A30" s="5" t="s">
        <v>346</v>
      </c>
      <c r="E30" s="5" t="s">
        <v>1345</v>
      </c>
    </row>
    <row r="31" spans="1:5">
      <c r="A31" s="5" t="s">
        <v>1328</v>
      </c>
      <c r="E31" s="5" t="s">
        <v>1346</v>
      </c>
    </row>
    <row r="32" spans="1:5">
      <c r="A32" s="5" t="s">
        <v>348</v>
      </c>
      <c r="E32" s="5" t="s">
        <v>1347</v>
      </c>
    </row>
    <row r="33" spans="1:9">
      <c r="A33" s="5" t="s">
        <v>349</v>
      </c>
      <c r="E33" s="5" t="s">
        <v>1348</v>
      </c>
    </row>
    <row r="35" spans="1:9">
      <c r="A35" s="3" t="s">
        <v>1349</v>
      </c>
      <c r="E35" s="3" t="s">
        <v>1360</v>
      </c>
    </row>
    <row r="36" spans="1:9">
      <c r="A36" s="5" t="s">
        <v>1350</v>
      </c>
      <c r="E36" s="5" t="s">
        <v>1189</v>
      </c>
    </row>
    <row r="37" spans="1:9">
      <c r="A37" s="5" t="s">
        <v>1351</v>
      </c>
      <c r="E37" s="5" t="s">
        <v>1190</v>
      </c>
    </row>
    <row r="38" spans="1:9">
      <c r="A38" s="5" t="s">
        <v>1352</v>
      </c>
      <c r="E38" s="5" t="s">
        <v>1191</v>
      </c>
    </row>
    <row r="39" spans="1:9">
      <c r="A39" s="5" t="s">
        <v>1353</v>
      </c>
      <c r="E39" s="5" t="s">
        <v>1192</v>
      </c>
    </row>
    <row r="40" spans="1:9">
      <c r="A40" s="5" t="s">
        <v>1354</v>
      </c>
      <c r="E40" s="5" t="s">
        <v>1361</v>
      </c>
    </row>
    <row r="41" spans="1:9">
      <c r="A41" s="5" t="s">
        <v>1355</v>
      </c>
      <c r="E41" s="5" t="s">
        <v>1194</v>
      </c>
    </row>
    <row r="42" spans="1:9">
      <c r="A42" s="5" t="s">
        <v>1356</v>
      </c>
      <c r="E42" s="5" t="s">
        <v>1195</v>
      </c>
    </row>
    <row r="43" spans="1:9">
      <c r="A43" s="5" t="s">
        <v>1357</v>
      </c>
      <c r="E43" s="5" t="s">
        <v>1196</v>
      </c>
    </row>
    <row r="44" spans="1:9">
      <c r="A44" s="5" t="s">
        <v>1358</v>
      </c>
      <c r="E44" s="5" t="s">
        <v>1197</v>
      </c>
    </row>
    <row r="45" spans="1:9">
      <c r="A45" s="5" t="s">
        <v>1359</v>
      </c>
      <c r="E45" s="5" t="s">
        <v>1198</v>
      </c>
    </row>
    <row r="47" spans="1:9">
      <c r="A47" s="3" t="s">
        <v>1375</v>
      </c>
      <c r="E47" s="3" t="s">
        <v>1382</v>
      </c>
      <c r="I47" s="3" t="s">
        <v>1362</v>
      </c>
    </row>
    <row r="48" spans="1:9">
      <c r="A48" s="5" t="s">
        <v>1376</v>
      </c>
      <c r="E48" s="5" t="s">
        <v>1218</v>
      </c>
      <c r="I48" s="5" t="s">
        <v>1363</v>
      </c>
    </row>
    <row r="49" spans="1:9">
      <c r="A49" s="5" t="s">
        <v>1377</v>
      </c>
      <c r="E49" s="5" t="s">
        <v>1383</v>
      </c>
      <c r="I49" s="5" t="s">
        <v>1364</v>
      </c>
    </row>
    <row r="50" spans="1:9">
      <c r="A50" s="5" t="s">
        <v>1378</v>
      </c>
      <c r="E50" s="5" t="s">
        <v>1384</v>
      </c>
      <c r="I50" s="5" t="s">
        <v>1365</v>
      </c>
    </row>
    <row r="51" spans="1:9">
      <c r="A51" s="5" t="s">
        <v>1379</v>
      </c>
      <c r="E51" s="5" t="s">
        <v>1385</v>
      </c>
      <c r="I51" s="5" t="s">
        <v>1366</v>
      </c>
    </row>
    <row r="52" spans="1:9">
      <c r="A52" s="5" t="s">
        <v>1380</v>
      </c>
      <c r="E52" s="5" t="s">
        <v>1222</v>
      </c>
      <c r="I52" s="5" t="s">
        <v>1367</v>
      </c>
    </row>
    <row r="53" spans="1:9">
      <c r="A53" s="5" t="s">
        <v>1381</v>
      </c>
      <c r="E53" s="5" t="s">
        <v>1386</v>
      </c>
      <c r="I53" s="5" t="s">
        <v>1368</v>
      </c>
    </row>
    <row r="54" spans="1:9">
      <c r="E54" s="5" t="s">
        <v>1224</v>
      </c>
      <c r="I54" s="5" t="s">
        <v>1369</v>
      </c>
    </row>
    <row r="55" spans="1:9">
      <c r="E55" s="5" t="s">
        <v>1225</v>
      </c>
      <c r="I55" s="5" t="s">
        <v>1370</v>
      </c>
    </row>
    <row r="56" spans="1:9">
      <c r="E56" s="5" t="s">
        <v>1226</v>
      </c>
      <c r="I56" s="5" t="s">
        <v>1371</v>
      </c>
    </row>
    <row r="57" spans="1:9">
      <c r="E57" s="5" t="s">
        <v>1387</v>
      </c>
      <c r="I57" s="5" t="s">
        <v>1372</v>
      </c>
    </row>
    <row r="58" spans="1:9">
      <c r="I58" s="5" t="s">
        <v>1373</v>
      </c>
    </row>
    <row r="59" spans="1:9">
      <c r="I59" s="5" t="s">
        <v>1374</v>
      </c>
    </row>
    <row r="61" spans="1:9">
      <c r="A61" s="3" t="s">
        <v>1388</v>
      </c>
      <c r="E61" s="3" t="s">
        <v>1394</v>
      </c>
      <c r="I61" s="3" t="s">
        <v>1405</v>
      </c>
    </row>
    <row r="62" spans="1:9">
      <c r="A62" s="5" t="s">
        <v>1284</v>
      </c>
      <c r="E62" s="5" t="s">
        <v>1395</v>
      </c>
      <c r="I62" s="5" t="s">
        <v>1406</v>
      </c>
    </row>
    <row r="63" spans="1:9">
      <c r="A63" s="5" t="s">
        <v>1285</v>
      </c>
      <c r="E63" s="5" t="s">
        <v>1396</v>
      </c>
      <c r="I63" s="5" t="s">
        <v>1407</v>
      </c>
    </row>
    <row r="64" spans="1:9">
      <c r="A64" s="5" t="s">
        <v>1286</v>
      </c>
      <c r="E64" s="5" t="s">
        <v>1397</v>
      </c>
      <c r="I64" s="5" t="s">
        <v>1408</v>
      </c>
    </row>
    <row r="65" spans="1:9">
      <c r="A65" s="5" t="s">
        <v>1287</v>
      </c>
      <c r="E65" s="5" t="s">
        <v>1232</v>
      </c>
      <c r="I65" s="5" t="s">
        <v>1409</v>
      </c>
    </row>
    <row r="66" spans="1:9">
      <c r="A66" s="5" t="s">
        <v>1288</v>
      </c>
      <c r="E66" s="5" t="s">
        <v>1233</v>
      </c>
      <c r="I66" s="5" t="s">
        <v>1410</v>
      </c>
    </row>
    <row r="67" spans="1:9">
      <c r="A67" s="5" t="s">
        <v>1389</v>
      </c>
      <c r="E67" s="5" t="s">
        <v>1398</v>
      </c>
      <c r="I67" s="5" t="s">
        <v>1411</v>
      </c>
    </row>
    <row r="68" spans="1:9">
      <c r="A68" s="5" t="s">
        <v>1390</v>
      </c>
      <c r="E68" s="5" t="s">
        <v>1399</v>
      </c>
      <c r="I68" s="5" t="s">
        <v>1412</v>
      </c>
    </row>
    <row r="69" spans="1:9">
      <c r="A69" s="5" t="s">
        <v>1391</v>
      </c>
      <c r="E69" s="5" t="s">
        <v>1400</v>
      </c>
      <c r="I69" s="5" t="s">
        <v>1413</v>
      </c>
    </row>
    <row r="70" spans="1:9">
      <c r="A70" s="5" t="s">
        <v>1392</v>
      </c>
      <c r="E70" s="5" t="s">
        <v>1401</v>
      </c>
      <c r="I70" s="5" t="s">
        <v>1414</v>
      </c>
    </row>
    <row r="71" spans="1:9">
      <c r="A71" s="5" t="s">
        <v>1393</v>
      </c>
      <c r="E71" s="5" t="s">
        <v>1402</v>
      </c>
      <c r="I71" s="5" t="s">
        <v>1415</v>
      </c>
    </row>
    <row r="72" spans="1:9">
      <c r="E72" s="5" t="s">
        <v>1403</v>
      </c>
      <c r="I72" s="5" t="s">
        <v>1416</v>
      </c>
    </row>
    <row r="73" spans="1:9">
      <c r="E73" s="5" t="s">
        <v>1404</v>
      </c>
      <c r="I73" s="5" t="s">
        <v>1417</v>
      </c>
    </row>
    <row r="76" spans="1:9">
      <c r="A76" s="3" t="s">
        <v>1418</v>
      </c>
    </row>
    <row r="77" spans="1:9">
      <c r="A77" s="5" t="s">
        <v>1419</v>
      </c>
    </row>
    <row r="78" spans="1:9">
      <c r="A78" s="5" t="s">
        <v>1252</v>
      </c>
    </row>
    <row r="79" spans="1:9">
      <c r="A79" s="5" t="s">
        <v>1253</v>
      </c>
    </row>
    <row r="80" spans="1:9">
      <c r="A80" s="5" t="s">
        <v>1254</v>
      </c>
    </row>
    <row r="81" spans="1:1">
      <c r="A81" s="5" t="s">
        <v>1420</v>
      </c>
    </row>
    <row r="82" spans="1:1">
      <c r="A82" s="5" t="s">
        <v>1256</v>
      </c>
    </row>
    <row r="83" spans="1:1">
      <c r="A83" s="5" t="s">
        <v>1421</v>
      </c>
    </row>
    <row r="84" spans="1:1">
      <c r="A84" s="5" t="s">
        <v>1422</v>
      </c>
    </row>
    <row r="85" spans="1:1">
      <c r="A85" s="5" t="s">
        <v>1259</v>
      </c>
    </row>
    <row r="86" spans="1:1">
      <c r="A86" s="5" t="s">
        <v>1423</v>
      </c>
    </row>
    <row r="87" spans="1:1">
      <c r="A87" s="5" t="s">
        <v>1261</v>
      </c>
    </row>
    <row r="88" spans="1:1">
      <c r="A88" s="5" t="s">
        <v>1262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0D2A4-6D46-4F7E-B60C-43C413BBBD49}">
  <sheetPr>
    <tabColor rgb="FFFFFF00"/>
  </sheetPr>
  <dimension ref="A1:I43"/>
  <sheetViews>
    <sheetView workbookViewId="0">
      <selection activeCell="O29" sqref="O29"/>
    </sheetView>
  </sheetViews>
  <sheetFormatPr defaultRowHeight="15"/>
  <cols>
    <col min="1" max="16384" width="9.140625" style="28"/>
  </cols>
  <sheetData>
    <row r="1" spans="1:9" ht="18.75">
      <c r="A1" s="27" t="s">
        <v>6783</v>
      </c>
    </row>
    <row r="2" spans="1:9" ht="18.75">
      <c r="A2" s="27"/>
    </row>
    <row r="3" spans="1:9">
      <c r="A3" s="29" t="s">
        <v>6784</v>
      </c>
      <c r="E3" s="29" t="s">
        <v>6795</v>
      </c>
      <c r="I3" s="29" t="s">
        <v>6808</v>
      </c>
    </row>
    <row r="4" spans="1:9">
      <c r="A4" s="30" t="s">
        <v>6785</v>
      </c>
      <c r="E4" s="30" t="s">
        <v>6796</v>
      </c>
      <c r="I4" s="30" t="s">
        <v>6809</v>
      </c>
    </row>
    <row r="5" spans="1:9">
      <c r="A5" s="30" t="s">
        <v>6786</v>
      </c>
      <c r="E5" s="30" t="s">
        <v>6797</v>
      </c>
      <c r="I5" s="30" t="s">
        <v>6810</v>
      </c>
    </row>
    <row r="6" spans="1:9">
      <c r="A6" s="30" t="s">
        <v>6787</v>
      </c>
      <c r="E6" s="30" t="s">
        <v>6798</v>
      </c>
      <c r="I6" s="30" t="s">
        <v>6811</v>
      </c>
    </row>
    <row r="7" spans="1:9">
      <c r="A7" s="30" t="s">
        <v>6788</v>
      </c>
      <c r="E7" s="30" t="s">
        <v>6799</v>
      </c>
      <c r="I7" s="30" t="s">
        <v>6812</v>
      </c>
    </row>
    <row r="8" spans="1:9">
      <c r="A8" s="30" t="s">
        <v>6789</v>
      </c>
      <c r="E8" s="30" t="s">
        <v>6800</v>
      </c>
      <c r="I8" s="30" t="s">
        <v>6813</v>
      </c>
    </row>
    <row r="9" spans="1:9">
      <c r="A9" s="30" t="s">
        <v>6790</v>
      </c>
      <c r="E9" s="30" t="s">
        <v>6801</v>
      </c>
      <c r="I9" s="30" t="s">
        <v>6814</v>
      </c>
    </row>
    <row r="10" spans="1:9">
      <c r="A10" s="30" t="s">
        <v>6791</v>
      </c>
      <c r="E10" s="30" t="s">
        <v>6802</v>
      </c>
      <c r="I10" s="30" t="s">
        <v>6815</v>
      </c>
    </row>
    <row r="11" spans="1:9">
      <c r="A11" s="30" t="s">
        <v>6792</v>
      </c>
      <c r="E11" s="30" t="s">
        <v>6803</v>
      </c>
      <c r="I11" s="30" t="s">
        <v>6816</v>
      </c>
    </row>
    <row r="12" spans="1:9">
      <c r="A12" s="30" t="s">
        <v>6793</v>
      </c>
      <c r="E12" s="30" t="s">
        <v>6804</v>
      </c>
      <c r="I12" s="30" t="s">
        <v>6817</v>
      </c>
    </row>
    <row r="13" spans="1:9">
      <c r="A13" s="30" t="s">
        <v>6794</v>
      </c>
      <c r="E13" s="30" t="s">
        <v>6805</v>
      </c>
      <c r="I13" s="30" t="s">
        <v>6818</v>
      </c>
    </row>
    <row r="14" spans="1:9">
      <c r="E14" s="30" t="s">
        <v>6806</v>
      </c>
      <c r="I14" s="30" t="s">
        <v>6819</v>
      </c>
    </row>
    <row r="15" spans="1:9">
      <c r="E15" s="30" t="s">
        <v>6807</v>
      </c>
      <c r="I15" s="30" t="s">
        <v>6820</v>
      </c>
    </row>
    <row r="16" spans="1:9">
      <c r="E16" s="30"/>
      <c r="I16" s="30"/>
    </row>
    <row r="17" spans="1:5">
      <c r="A17" s="29" t="s">
        <v>6821</v>
      </c>
      <c r="E17" s="29" t="s">
        <v>6834</v>
      </c>
    </row>
    <row r="18" spans="1:5">
      <c r="A18" s="30" t="s">
        <v>6822</v>
      </c>
      <c r="E18" s="30" t="s">
        <v>6835</v>
      </c>
    </row>
    <row r="19" spans="1:5">
      <c r="A19" s="30" t="s">
        <v>6823</v>
      </c>
      <c r="E19" s="30" t="s">
        <v>6836</v>
      </c>
    </row>
    <row r="20" spans="1:5">
      <c r="A20" s="30" t="s">
        <v>6824</v>
      </c>
      <c r="E20" s="30" t="s">
        <v>6837</v>
      </c>
    </row>
    <row r="21" spans="1:5">
      <c r="A21" s="30" t="s">
        <v>6825</v>
      </c>
      <c r="E21" s="30" t="s">
        <v>6838</v>
      </c>
    </row>
    <row r="22" spans="1:5">
      <c r="A22" s="30" t="s">
        <v>6826</v>
      </c>
      <c r="E22" s="30" t="s">
        <v>6839</v>
      </c>
    </row>
    <row r="23" spans="1:5">
      <c r="A23" s="30" t="s">
        <v>6827</v>
      </c>
      <c r="E23" s="30" t="s">
        <v>6840</v>
      </c>
    </row>
    <row r="24" spans="1:5">
      <c r="A24" s="30" t="s">
        <v>6828</v>
      </c>
      <c r="E24" s="30" t="s">
        <v>6841</v>
      </c>
    </row>
    <row r="25" spans="1:5">
      <c r="A25" s="30" t="s">
        <v>6829</v>
      </c>
      <c r="E25" s="30" t="s">
        <v>6842</v>
      </c>
    </row>
    <row r="26" spans="1:5">
      <c r="A26" s="30" t="s">
        <v>6830</v>
      </c>
      <c r="E26" s="30" t="s">
        <v>6843</v>
      </c>
    </row>
    <row r="27" spans="1:5">
      <c r="A27" s="30" t="s">
        <v>6831</v>
      </c>
      <c r="E27" s="30" t="s">
        <v>6844</v>
      </c>
    </row>
    <row r="28" spans="1:5">
      <c r="A28" s="30" t="s">
        <v>6832</v>
      </c>
      <c r="E28" s="30" t="s">
        <v>6845</v>
      </c>
    </row>
    <row r="29" spans="1:5">
      <c r="A29" s="30" t="s">
        <v>6833</v>
      </c>
      <c r="E29" s="30" t="s">
        <v>6846</v>
      </c>
    </row>
    <row r="31" spans="1:5">
      <c r="A31" s="29" t="s">
        <v>6847</v>
      </c>
      <c r="E31" s="29" t="s">
        <v>6860</v>
      </c>
    </row>
    <row r="32" spans="1:5">
      <c r="A32" s="30" t="s">
        <v>6848</v>
      </c>
      <c r="E32" s="30" t="s">
        <v>6861</v>
      </c>
    </row>
    <row r="33" spans="1:5">
      <c r="A33" s="30" t="s">
        <v>6849</v>
      </c>
      <c r="E33" s="30" t="s">
        <v>6862</v>
      </c>
    </row>
    <row r="34" spans="1:5">
      <c r="A34" s="30" t="s">
        <v>6850</v>
      </c>
      <c r="E34" s="30" t="s">
        <v>6863</v>
      </c>
    </row>
    <row r="35" spans="1:5">
      <c r="A35" s="30" t="s">
        <v>6851</v>
      </c>
      <c r="E35" s="30" t="s">
        <v>6864</v>
      </c>
    </row>
    <row r="36" spans="1:5">
      <c r="A36" s="30" t="s">
        <v>6852</v>
      </c>
      <c r="E36" s="30" t="s">
        <v>6865</v>
      </c>
    </row>
    <row r="37" spans="1:5">
      <c r="A37" s="30" t="s">
        <v>6853</v>
      </c>
      <c r="E37" s="30" t="s">
        <v>6866</v>
      </c>
    </row>
    <row r="38" spans="1:5">
      <c r="A38" s="30" t="s">
        <v>6854</v>
      </c>
      <c r="E38" s="30" t="s">
        <v>6867</v>
      </c>
    </row>
    <row r="39" spans="1:5">
      <c r="A39" s="30" t="s">
        <v>6855</v>
      </c>
      <c r="E39" s="30" t="s">
        <v>6868</v>
      </c>
    </row>
    <row r="40" spans="1:5">
      <c r="A40" s="30" t="s">
        <v>6856</v>
      </c>
      <c r="E40" s="30" t="s">
        <v>6869</v>
      </c>
    </row>
    <row r="41" spans="1:5">
      <c r="A41" s="30" t="s">
        <v>6857</v>
      </c>
      <c r="E41" s="30" t="s">
        <v>6870</v>
      </c>
    </row>
    <row r="42" spans="1:5">
      <c r="A42" s="30" t="s">
        <v>6858</v>
      </c>
      <c r="E42" s="30" t="s">
        <v>6871</v>
      </c>
    </row>
    <row r="43" spans="1:5">
      <c r="A43" s="30" t="s">
        <v>6859</v>
      </c>
      <c r="E43" s="30" t="s">
        <v>6872</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F1175-500D-4C6B-B79A-A7FEF48913B3}">
  <sheetPr>
    <tabColor rgb="FFFFFF00"/>
  </sheetPr>
  <dimension ref="A1:I269"/>
  <sheetViews>
    <sheetView topLeftCell="A169" workbookViewId="0">
      <selection activeCell="K181" sqref="K181"/>
    </sheetView>
  </sheetViews>
  <sheetFormatPr defaultRowHeight="15"/>
  <cols>
    <col min="1" max="16384" width="9.140625" style="28"/>
  </cols>
  <sheetData>
    <row r="1" spans="1:9" ht="18.75">
      <c r="A1" s="27" t="s">
        <v>6873</v>
      </c>
    </row>
    <row r="2" spans="1:9" ht="18.75">
      <c r="A2" s="27"/>
    </row>
    <row r="3" spans="1:9">
      <c r="A3" s="29" t="s">
        <v>6874</v>
      </c>
      <c r="E3" s="32" t="s">
        <v>6889</v>
      </c>
      <c r="I3" s="29" t="s">
        <v>6904</v>
      </c>
    </row>
    <row r="4" spans="1:9">
      <c r="A4" s="31" t="s">
        <v>6875</v>
      </c>
      <c r="E4" s="33" t="s">
        <v>6890</v>
      </c>
      <c r="I4" s="31" t="s">
        <v>6905</v>
      </c>
    </row>
    <row r="5" spans="1:9">
      <c r="A5" s="31" t="s">
        <v>6876</v>
      </c>
      <c r="E5" s="33" t="s">
        <v>6891</v>
      </c>
      <c r="I5" s="31" t="s">
        <v>6906</v>
      </c>
    </row>
    <row r="6" spans="1:9">
      <c r="A6" s="31" t="s">
        <v>6877</v>
      </c>
      <c r="E6" s="33" t="s">
        <v>6892</v>
      </c>
      <c r="I6" s="31" t="s">
        <v>6907</v>
      </c>
    </row>
    <row r="7" spans="1:9">
      <c r="A7" s="31" t="s">
        <v>6878</v>
      </c>
      <c r="E7" s="33" t="s">
        <v>6893</v>
      </c>
      <c r="I7" s="31" t="s">
        <v>6908</v>
      </c>
    </row>
    <row r="8" spans="1:9">
      <c r="A8" s="31" t="s">
        <v>6879</v>
      </c>
      <c r="E8" s="33" t="s">
        <v>6894</v>
      </c>
      <c r="I8" s="31" t="s">
        <v>6909</v>
      </c>
    </row>
    <row r="9" spans="1:9">
      <c r="A9" s="31" t="s">
        <v>6880</v>
      </c>
      <c r="E9" s="33" t="s">
        <v>6895</v>
      </c>
    </row>
    <row r="10" spans="1:9">
      <c r="A10" s="31" t="s">
        <v>6881</v>
      </c>
      <c r="E10" s="33" t="s">
        <v>6896</v>
      </c>
    </row>
    <row r="11" spans="1:9">
      <c r="A11" s="31" t="s">
        <v>6882</v>
      </c>
      <c r="E11" s="33" t="s">
        <v>6897</v>
      </c>
    </row>
    <row r="12" spans="1:9">
      <c r="A12" s="31" t="s">
        <v>6883</v>
      </c>
      <c r="E12" s="33" t="s">
        <v>6898</v>
      </c>
    </row>
    <row r="13" spans="1:9">
      <c r="A13" s="31" t="s">
        <v>6884</v>
      </c>
      <c r="E13" s="33" t="s">
        <v>6899</v>
      </c>
    </row>
    <row r="14" spans="1:9">
      <c r="A14" s="31" t="s">
        <v>6885</v>
      </c>
      <c r="E14" s="33" t="s">
        <v>6900</v>
      </c>
    </row>
    <row r="15" spans="1:9">
      <c r="A15" s="31" t="s">
        <v>6886</v>
      </c>
      <c r="E15" s="33" t="s">
        <v>6901</v>
      </c>
    </row>
    <row r="16" spans="1:9">
      <c r="A16" s="31" t="s">
        <v>6887</v>
      </c>
      <c r="E16" s="33" t="s">
        <v>6902</v>
      </c>
    </row>
    <row r="17" spans="1:9">
      <c r="A17" s="31" t="s">
        <v>6888</v>
      </c>
      <c r="E17" s="33" t="s">
        <v>6903</v>
      </c>
    </row>
    <row r="19" spans="1:9">
      <c r="A19" s="29" t="s">
        <v>6910</v>
      </c>
      <c r="E19" s="29" t="s">
        <v>6934</v>
      </c>
      <c r="I19" s="29" t="s">
        <v>6993</v>
      </c>
    </row>
    <row r="20" spans="1:9">
      <c r="A20" s="30" t="s">
        <v>6911</v>
      </c>
      <c r="E20" s="31" t="s">
        <v>6935</v>
      </c>
      <c r="I20" s="30" t="s">
        <v>6994</v>
      </c>
    </row>
    <row r="21" spans="1:9">
      <c r="A21" s="30" t="s">
        <v>6912</v>
      </c>
      <c r="E21" s="31" t="s">
        <v>6936</v>
      </c>
      <c r="I21" s="30" t="s">
        <v>6995</v>
      </c>
    </row>
    <row r="22" spans="1:9">
      <c r="A22" s="30" t="s">
        <v>6913</v>
      </c>
      <c r="E22" s="31" t="s">
        <v>6937</v>
      </c>
      <c r="I22" s="30" t="s">
        <v>6996</v>
      </c>
    </row>
    <row r="23" spans="1:9">
      <c r="A23" s="30" t="s">
        <v>7403</v>
      </c>
      <c r="E23" s="31" t="s">
        <v>6938</v>
      </c>
      <c r="I23" s="30" t="s">
        <v>6997</v>
      </c>
    </row>
    <row r="24" spans="1:9">
      <c r="A24" s="30" t="s">
        <v>7404</v>
      </c>
      <c r="E24" s="31" t="s">
        <v>6939</v>
      </c>
      <c r="I24" s="30" t="s">
        <v>6998</v>
      </c>
    </row>
    <row r="25" spans="1:9">
      <c r="A25" s="30" t="s">
        <v>7405</v>
      </c>
      <c r="E25" s="31" t="s">
        <v>6940</v>
      </c>
      <c r="I25" s="30" t="s">
        <v>6999</v>
      </c>
    </row>
    <row r="26" spans="1:9">
      <c r="A26" s="30" t="s">
        <v>6914</v>
      </c>
      <c r="E26" s="31" t="s">
        <v>6941</v>
      </c>
      <c r="I26" s="30" t="s">
        <v>7000</v>
      </c>
    </row>
    <row r="27" spans="1:9">
      <c r="A27" s="30" t="s">
        <v>7406</v>
      </c>
      <c r="E27" s="31" t="s">
        <v>6942</v>
      </c>
      <c r="I27" s="30" t="s">
        <v>7001</v>
      </c>
    </row>
    <row r="28" spans="1:9">
      <c r="A28" s="30" t="s">
        <v>6915</v>
      </c>
      <c r="E28" s="31" t="s">
        <v>6943</v>
      </c>
      <c r="I28" s="30" t="s">
        <v>7002</v>
      </c>
    </row>
    <row r="29" spans="1:9">
      <c r="A29" s="30" t="s">
        <v>6916</v>
      </c>
      <c r="E29" s="31" t="s">
        <v>6944</v>
      </c>
      <c r="I29" s="30" t="s">
        <v>7003</v>
      </c>
    </row>
    <row r="30" spans="1:9">
      <c r="A30" s="30" t="s">
        <v>6917</v>
      </c>
      <c r="E30" s="31" t="s">
        <v>6945</v>
      </c>
      <c r="I30" s="30" t="s">
        <v>7004</v>
      </c>
    </row>
    <row r="31" spans="1:9">
      <c r="A31" s="30" t="s">
        <v>7407</v>
      </c>
      <c r="E31" s="31" t="s">
        <v>6946</v>
      </c>
      <c r="I31" s="30" t="s">
        <v>7005</v>
      </c>
    </row>
    <row r="32" spans="1:9">
      <c r="A32" s="30" t="s">
        <v>6918</v>
      </c>
      <c r="E32" s="31" t="s">
        <v>6947</v>
      </c>
      <c r="I32" s="30" t="s">
        <v>7006</v>
      </c>
    </row>
    <row r="33" spans="1:9">
      <c r="A33" s="30" t="s">
        <v>6919</v>
      </c>
      <c r="E33" s="31" t="s">
        <v>6948</v>
      </c>
      <c r="I33" s="30" t="s">
        <v>7007</v>
      </c>
    </row>
    <row r="34" spans="1:9">
      <c r="A34" s="30" t="s">
        <v>6920</v>
      </c>
      <c r="E34" s="31" t="s">
        <v>6949</v>
      </c>
      <c r="I34" s="30" t="s">
        <v>7008</v>
      </c>
    </row>
    <row r="35" spans="1:9">
      <c r="A35" s="30" t="s">
        <v>7408</v>
      </c>
      <c r="E35" s="31" t="s">
        <v>6950</v>
      </c>
      <c r="I35" s="30" t="s">
        <v>7009</v>
      </c>
    </row>
    <row r="36" spans="1:9">
      <c r="A36" s="30" t="s">
        <v>6921</v>
      </c>
      <c r="E36" s="31" t="s">
        <v>6951</v>
      </c>
      <c r="I36" s="30" t="s">
        <v>7010</v>
      </c>
    </row>
    <row r="37" spans="1:9">
      <c r="A37" s="30" t="s">
        <v>6922</v>
      </c>
      <c r="E37" s="31" t="s">
        <v>6952</v>
      </c>
      <c r="I37" s="30" t="s">
        <v>7011</v>
      </c>
    </row>
    <row r="38" spans="1:9">
      <c r="A38" s="30" t="s">
        <v>7409</v>
      </c>
      <c r="E38" s="31" t="s">
        <v>6953</v>
      </c>
      <c r="I38" s="30" t="s">
        <v>7012</v>
      </c>
    </row>
    <row r="39" spans="1:9">
      <c r="A39" s="30" t="s">
        <v>7410</v>
      </c>
      <c r="E39" s="31" t="s">
        <v>6954</v>
      </c>
      <c r="I39" s="30" t="s">
        <v>7013</v>
      </c>
    </row>
    <row r="40" spans="1:9">
      <c r="A40" s="30" t="s">
        <v>7411</v>
      </c>
      <c r="E40" s="31" t="s">
        <v>6955</v>
      </c>
      <c r="I40" s="30" t="s">
        <v>7014</v>
      </c>
    </row>
    <row r="41" spans="1:9">
      <c r="A41" s="30" t="s">
        <v>6923</v>
      </c>
      <c r="E41" s="31" t="s">
        <v>6956</v>
      </c>
      <c r="I41" s="30" t="s">
        <v>7015</v>
      </c>
    </row>
    <row r="42" spans="1:9">
      <c r="A42" s="30" t="s">
        <v>7412</v>
      </c>
      <c r="E42" s="31" t="s">
        <v>6957</v>
      </c>
      <c r="I42" s="30" t="s">
        <v>7016</v>
      </c>
    </row>
    <row r="43" spans="1:9">
      <c r="A43" s="30" t="s">
        <v>7413</v>
      </c>
      <c r="E43" s="31" t="s">
        <v>6958</v>
      </c>
      <c r="I43" s="30" t="s">
        <v>7017</v>
      </c>
    </row>
    <row r="44" spans="1:9">
      <c r="A44" s="30" t="s">
        <v>7414</v>
      </c>
      <c r="E44" s="31" t="s">
        <v>6959</v>
      </c>
      <c r="I44" s="30" t="s">
        <v>7018</v>
      </c>
    </row>
    <row r="45" spans="1:9">
      <c r="A45" s="30" t="s">
        <v>7415</v>
      </c>
      <c r="E45" s="31" t="s">
        <v>6960</v>
      </c>
      <c r="I45" s="30" t="s">
        <v>7019</v>
      </c>
    </row>
    <row r="46" spans="1:9">
      <c r="A46" s="30" t="s">
        <v>7416</v>
      </c>
      <c r="E46" s="31" t="s">
        <v>6961</v>
      </c>
      <c r="I46" s="30" t="s">
        <v>7020</v>
      </c>
    </row>
    <row r="47" spans="1:9">
      <c r="A47" s="30" t="s">
        <v>7417</v>
      </c>
      <c r="E47" s="31" t="s">
        <v>6962</v>
      </c>
      <c r="I47" s="30" t="s">
        <v>7021</v>
      </c>
    </row>
    <row r="48" spans="1:9">
      <c r="A48" s="30" t="s">
        <v>6924</v>
      </c>
      <c r="E48" s="31" t="s">
        <v>6963</v>
      </c>
      <c r="I48" s="30" t="s">
        <v>7022</v>
      </c>
    </row>
    <row r="49" spans="1:9">
      <c r="A49" s="30" t="s">
        <v>6925</v>
      </c>
      <c r="E49" s="31" t="s">
        <v>6964</v>
      </c>
      <c r="I49" s="30" t="s">
        <v>7023</v>
      </c>
    </row>
    <row r="50" spans="1:9">
      <c r="A50" s="30" t="s">
        <v>7418</v>
      </c>
      <c r="E50" s="31" t="s">
        <v>6965</v>
      </c>
      <c r="I50" s="30" t="s">
        <v>7024</v>
      </c>
    </row>
    <row r="51" spans="1:9">
      <c r="A51" s="30" t="s">
        <v>7419</v>
      </c>
      <c r="E51" s="31" t="s">
        <v>6966</v>
      </c>
      <c r="I51" s="30" t="s">
        <v>7025</v>
      </c>
    </row>
    <row r="52" spans="1:9">
      <c r="A52" s="30" t="s">
        <v>7420</v>
      </c>
      <c r="E52" s="31" t="s">
        <v>6967</v>
      </c>
      <c r="I52" s="30" t="s">
        <v>7026</v>
      </c>
    </row>
    <row r="53" spans="1:9">
      <c r="A53" s="30" t="s">
        <v>6926</v>
      </c>
      <c r="E53" s="31" t="s">
        <v>6968</v>
      </c>
      <c r="I53" s="30" t="s">
        <v>7027</v>
      </c>
    </row>
    <row r="54" spans="1:9">
      <c r="A54" s="30" t="s">
        <v>7421</v>
      </c>
      <c r="E54" s="31" t="s">
        <v>6969</v>
      </c>
      <c r="I54" s="30" t="s">
        <v>7028</v>
      </c>
    </row>
    <row r="55" spans="1:9">
      <c r="A55" s="30" t="s">
        <v>6927</v>
      </c>
      <c r="E55" s="31" t="s">
        <v>6970</v>
      </c>
      <c r="I55" s="30" t="s">
        <v>7029</v>
      </c>
    </row>
    <row r="56" spans="1:9">
      <c r="A56" s="30" t="s">
        <v>7422</v>
      </c>
      <c r="E56" s="31" t="s">
        <v>6971</v>
      </c>
      <c r="I56" s="30" t="s">
        <v>7030</v>
      </c>
    </row>
    <row r="57" spans="1:9">
      <c r="A57" s="30" t="s">
        <v>7423</v>
      </c>
      <c r="E57" s="31" t="s">
        <v>6972</v>
      </c>
      <c r="I57" s="30" t="s">
        <v>7031</v>
      </c>
    </row>
    <row r="58" spans="1:9">
      <c r="A58" s="30" t="s">
        <v>7424</v>
      </c>
      <c r="E58" s="31" t="s">
        <v>6973</v>
      </c>
      <c r="I58" s="30" t="s">
        <v>7032</v>
      </c>
    </row>
    <row r="59" spans="1:9">
      <c r="A59" s="30" t="s">
        <v>7425</v>
      </c>
      <c r="E59" s="31" t="s">
        <v>6974</v>
      </c>
      <c r="I59" s="30" t="s">
        <v>7033</v>
      </c>
    </row>
    <row r="60" spans="1:9">
      <c r="A60" s="30" t="s">
        <v>7426</v>
      </c>
      <c r="E60" s="31" t="s">
        <v>6975</v>
      </c>
      <c r="I60" s="30" t="s">
        <v>7034</v>
      </c>
    </row>
    <row r="61" spans="1:9">
      <c r="A61" s="30" t="s">
        <v>6928</v>
      </c>
      <c r="E61" s="31" t="s">
        <v>6976</v>
      </c>
      <c r="I61" s="30" t="s">
        <v>7035</v>
      </c>
    </row>
    <row r="62" spans="1:9">
      <c r="A62" s="30" t="s">
        <v>7427</v>
      </c>
      <c r="E62" s="31" t="s">
        <v>6977</v>
      </c>
      <c r="I62" s="30" t="s">
        <v>7036</v>
      </c>
    </row>
    <row r="63" spans="1:9">
      <c r="A63" s="30" t="s">
        <v>7428</v>
      </c>
      <c r="E63" s="31" t="s">
        <v>6978</v>
      </c>
      <c r="I63" s="30" t="s">
        <v>7037</v>
      </c>
    </row>
    <row r="64" spans="1:9">
      <c r="A64" s="30" t="s">
        <v>7429</v>
      </c>
      <c r="E64" s="31" t="s">
        <v>6979</v>
      </c>
      <c r="I64" s="30" t="s">
        <v>7038</v>
      </c>
    </row>
    <row r="65" spans="1:9">
      <c r="A65" s="30" t="s">
        <v>7430</v>
      </c>
      <c r="E65" s="31" t="s">
        <v>6980</v>
      </c>
      <c r="I65" s="30" t="s">
        <v>7039</v>
      </c>
    </row>
    <row r="66" spans="1:9">
      <c r="A66" s="30" t="s">
        <v>6929</v>
      </c>
      <c r="E66" s="31" t="s">
        <v>6981</v>
      </c>
      <c r="I66" s="30" t="s">
        <v>7040</v>
      </c>
    </row>
    <row r="67" spans="1:9">
      <c r="A67" s="30" t="s">
        <v>6930</v>
      </c>
      <c r="E67" s="31" t="s">
        <v>6982</v>
      </c>
      <c r="I67" s="30" t="s">
        <v>7041</v>
      </c>
    </row>
    <row r="68" spans="1:9">
      <c r="A68" s="30" t="s">
        <v>6931</v>
      </c>
      <c r="E68" s="31" t="s">
        <v>6983</v>
      </c>
      <c r="I68" s="30" t="s">
        <v>7042</v>
      </c>
    </row>
    <row r="69" spans="1:9">
      <c r="A69" s="30" t="s">
        <v>6932</v>
      </c>
      <c r="E69" s="31" t="s">
        <v>6984</v>
      </c>
      <c r="I69" s="30" t="s">
        <v>7043</v>
      </c>
    </row>
    <row r="70" spans="1:9">
      <c r="A70" s="30" t="s">
        <v>7431</v>
      </c>
      <c r="E70" s="31" t="s">
        <v>6985</v>
      </c>
      <c r="I70" s="30" t="s">
        <v>7044</v>
      </c>
    </row>
    <row r="71" spans="1:9">
      <c r="A71" s="30" t="s">
        <v>7432</v>
      </c>
      <c r="E71" s="31" t="s">
        <v>6986</v>
      </c>
      <c r="I71" s="30" t="s">
        <v>7045</v>
      </c>
    </row>
    <row r="72" spans="1:9">
      <c r="A72" s="30" t="s">
        <v>6933</v>
      </c>
      <c r="E72" s="31" t="s">
        <v>6987</v>
      </c>
      <c r="I72" s="30" t="s">
        <v>7046</v>
      </c>
    </row>
    <row r="73" spans="1:9">
      <c r="E73" s="31" t="s">
        <v>6988</v>
      </c>
      <c r="I73" s="30" t="s">
        <v>7047</v>
      </c>
    </row>
    <row r="74" spans="1:9">
      <c r="E74" s="31" t="s">
        <v>6989</v>
      </c>
      <c r="I74" s="30" t="s">
        <v>7048</v>
      </c>
    </row>
    <row r="75" spans="1:9">
      <c r="E75" s="31" t="s">
        <v>6990</v>
      </c>
      <c r="I75" s="30" t="s">
        <v>7049</v>
      </c>
    </row>
    <row r="76" spans="1:9">
      <c r="E76" s="31" t="s">
        <v>6991</v>
      </c>
      <c r="I76" s="30" t="s">
        <v>7050</v>
      </c>
    </row>
    <row r="77" spans="1:9">
      <c r="E77" s="31" t="s">
        <v>6992</v>
      </c>
      <c r="I77" s="30" t="s">
        <v>7051</v>
      </c>
    </row>
    <row r="78" spans="1:9">
      <c r="I78" s="30" t="s">
        <v>7052</v>
      </c>
    </row>
    <row r="79" spans="1:9">
      <c r="I79" s="30" t="s">
        <v>7053</v>
      </c>
    </row>
    <row r="80" spans="1:9">
      <c r="I80" s="30" t="s">
        <v>7054</v>
      </c>
    </row>
    <row r="81" spans="9:9">
      <c r="I81" s="30" t="s">
        <v>7055</v>
      </c>
    </row>
    <row r="82" spans="9:9">
      <c r="I82" s="30" t="s">
        <v>7056</v>
      </c>
    </row>
    <row r="83" spans="9:9">
      <c r="I83" s="30" t="s">
        <v>7057</v>
      </c>
    </row>
    <row r="84" spans="9:9">
      <c r="I84" s="30" t="s">
        <v>7058</v>
      </c>
    </row>
    <row r="85" spans="9:9">
      <c r="I85" s="30" t="s">
        <v>7059</v>
      </c>
    </row>
    <row r="86" spans="9:9">
      <c r="I86" s="30" t="s">
        <v>7060</v>
      </c>
    </row>
    <row r="87" spans="9:9">
      <c r="I87" s="30" t="s">
        <v>7061</v>
      </c>
    </row>
    <row r="88" spans="9:9">
      <c r="I88" s="30" t="s">
        <v>7062</v>
      </c>
    </row>
    <row r="89" spans="9:9">
      <c r="I89" s="30" t="s">
        <v>7063</v>
      </c>
    </row>
    <row r="90" spans="9:9">
      <c r="I90" s="30" t="s">
        <v>7064</v>
      </c>
    </row>
    <row r="91" spans="9:9">
      <c r="I91" s="30" t="s">
        <v>7065</v>
      </c>
    </row>
    <row r="92" spans="9:9">
      <c r="I92" s="30" t="s">
        <v>7066</v>
      </c>
    </row>
    <row r="93" spans="9:9">
      <c r="I93" s="30" t="s">
        <v>7067</v>
      </c>
    </row>
    <row r="94" spans="9:9">
      <c r="I94" s="30" t="s">
        <v>7068</v>
      </c>
    </row>
    <row r="95" spans="9:9">
      <c r="I95" s="30" t="s">
        <v>7069</v>
      </c>
    </row>
    <row r="96" spans="9:9">
      <c r="I96" s="30" t="s">
        <v>7070</v>
      </c>
    </row>
    <row r="97" spans="1:9">
      <c r="I97" s="30" t="s">
        <v>7071</v>
      </c>
    </row>
    <row r="98" spans="1:9">
      <c r="I98" s="30" t="s">
        <v>7072</v>
      </c>
    </row>
    <row r="99" spans="1:9">
      <c r="I99" s="30" t="s">
        <v>7073</v>
      </c>
    </row>
    <row r="100" spans="1:9">
      <c r="I100" s="30" t="s">
        <v>7074</v>
      </c>
    </row>
    <row r="101" spans="1:9">
      <c r="I101" s="30" t="s">
        <v>7075</v>
      </c>
    </row>
    <row r="102" spans="1:9">
      <c r="I102" s="30" t="s">
        <v>7076</v>
      </c>
    </row>
    <row r="103" spans="1:9">
      <c r="I103" s="30" t="s">
        <v>7077</v>
      </c>
    </row>
    <row r="104" spans="1:9">
      <c r="I104" s="30" t="s">
        <v>7078</v>
      </c>
    </row>
    <row r="105" spans="1:9">
      <c r="I105" s="30" t="s">
        <v>7079</v>
      </c>
    </row>
    <row r="106" spans="1:9">
      <c r="I106" s="30" t="s">
        <v>7080</v>
      </c>
    </row>
    <row r="107" spans="1:9">
      <c r="I107" s="30" t="s">
        <v>7081</v>
      </c>
    </row>
    <row r="109" spans="1:9">
      <c r="A109" s="29" t="s">
        <v>7082</v>
      </c>
      <c r="E109" s="29" t="s">
        <v>7126</v>
      </c>
      <c r="I109" s="29" t="s">
        <v>7166</v>
      </c>
    </row>
    <row r="110" spans="1:9">
      <c r="A110" s="31" t="s">
        <v>7083</v>
      </c>
      <c r="E110" s="31" t="s">
        <v>7127</v>
      </c>
      <c r="I110" s="31" t="s">
        <v>7167</v>
      </c>
    </row>
    <row r="111" spans="1:9">
      <c r="A111" s="31" t="s">
        <v>7084</v>
      </c>
      <c r="E111" s="31" t="s">
        <v>7128</v>
      </c>
      <c r="I111" s="31" t="s">
        <v>7168</v>
      </c>
    </row>
    <row r="112" spans="1:9">
      <c r="A112" s="31" t="s">
        <v>7085</v>
      </c>
      <c r="E112" s="31" t="s">
        <v>7129</v>
      </c>
      <c r="I112" s="31" t="s">
        <v>7169</v>
      </c>
    </row>
    <row r="113" spans="1:9">
      <c r="A113" s="31" t="s">
        <v>7086</v>
      </c>
      <c r="E113" s="31" t="s">
        <v>7130</v>
      </c>
      <c r="I113" s="31" t="s">
        <v>7170</v>
      </c>
    </row>
    <row r="114" spans="1:9">
      <c r="A114" s="31" t="s">
        <v>7087</v>
      </c>
      <c r="E114" s="31" t="s">
        <v>7131</v>
      </c>
      <c r="I114" s="31" t="s">
        <v>7171</v>
      </c>
    </row>
    <row r="115" spans="1:9">
      <c r="A115" s="31" t="s">
        <v>7088</v>
      </c>
      <c r="E115" s="31" t="s">
        <v>7132</v>
      </c>
      <c r="I115" s="31" t="s">
        <v>7172</v>
      </c>
    </row>
    <row r="116" spans="1:9">
      <c r="A116" s="31" t="s">
        <v>7089</v>
      </c>
      <c r="E116" s="31" t="s">
        <v>7133</v>
      </c>
      <c r="I116" s="31" t="s">
        <v>7173</v>
      </c>
    </row>
    <row r="117" spans="1:9">
      <c r="A117" s="31" t="s">
        <v>7090</v>
      </c>
      <c r="E117" s="31" t="s">
        <v>7134</v>
      </c>
      <c r="I117" s="31" t="s">
        <v>7174</v>
      </c>
    </row>
    <row r="118" spans="1:9">
      <c r="A118" s="31" t="s">
        <v>7091</v>
      </c>
      <c r="E118" s="31" t="s">
        <v>7135</v>
      </c>
      <c r="I118" s="31" t="s">
        <v>7175</v>
      </c>
    </row>
    <row r="119" spans="1:9">
      <c r="A119" s="31" t="s">
        <v>7092</v>
      </c>
      <c r="E119" s="31" t="s">
        <v>7136</v>
      </c>
      <c r="I119" s="31" t="s">
        <v>7176</v>
      </c>
    </row>
    <row r="120" spans="1:9">
      <c r="A120" s="31" t="s">
        <v>7093</v>
      </c>
      <c r="E120" s="31" t="s">
        <v>7137</v>
      </c>
      <c r="I120" s="31" t="s">
        <v>7177</v>
      </c>
    </row>
    <row r="121" spans="1:9">
      <c r="A121" s="31" t="s">
        <v>7094</v>
      </c>
      <c r="E121" s="31" t="s">
        <v>7138</v>
      </c>
      <c r="I121" s="31" t="s">
        <v>7178</v>
      </c>
    </row>
    <row r="122" spans="1:9">
      <c r="A122" s="31" t="s">
        <v>7095</v>
      </c>
      <c r="E122" s="31" t="s">
        <v>7139</v>
      </c>
      <c r="I122" s="31" t="s">
        <v>7179</v>
      </c>
    </row>
    <row r="123" spans="1:9">
      <c r="A123" s="31" t="s">
        <v>7096</v>
      </c>
      <c r="E123" s="31" t="s">
        <v>7140</v>
      </c>
      <c r="I123" s="31" t="s">
        <v>7180</v>
      </c>
    </row>
    <row r="124" spans="1:9">
      <c r="A124" s="31" t="s">
        <v>7097</v>
      </c>
      <c r="E124" s="31" t="s">
        <v>7141</v>
      </c>
      <c r="I124" s="31" t="s">
        <v>7181</v>
      </c>
    </row>
    <row r="125" spans="1:9">
      <c r="A125" s="31" t="s">
        <v>7098</v>
      </c>
      <c r="E125" s="31" t="s">
        <v>7142</v>
      </c>
      <c r="I125" s="31" t="s">
        <v>7182</v>
      </c>
    </row>
    <row r="126" spans="1:9">
      <c r="A126" s="31" t="s">
        <v>7099</v>
      </c>
      <c r="E126" s="31" t="s">
        <v>7143</v>
      </c>
      <c r="I126" s="31" t="s">
        <v>7183</v>
      </c>
    </row>
    <row r="127" spans="1:9">
      <c r="A127" s="31" t="s">
        <v>7100</v>
      </c>
      <c r="E127" s="31" t="s">
        <v>7144</v>
      </c>
      <c r="I127" s="31" t="s">
        <v>7184</v>
      </c>
    </row>
    <row r="128" spans="1:9">
      <c r="A128" s="31" t="s">
        <v>7101</v>
      </c>
      <c r="E128" s="31" t="s">
        <v>7145</v>
      </c>
      <c r="I128" s="31" t="s">
        <v>7185</v>
      </c>
    </row>
    <row r="129" spans="1:9">
      <c r="A129" s="31" t="s">
        <v>7102</v>
      </c>
      <c r="E129" s="31" t="s">
        <v>7146</v>
      </c>
      <c r="I129" s="31" t="s">
        <v>7186</v>
      </c>
    </row>
    <row r="130" spans="1:9">
      <c r="A130" s="31" t="s">
        <v>7103</v>
      </c>
      <c r="E130" s="31" t="s">
        <v>7147</v>
      </c>
      <c r="I130" s="31" t="s">
        <v>7187</v>
      </c>
    </row>
    <row r="131" spans="1:9">
      <c r="A131" s="31" t="s">
        <v>7104</v>
      </c>
      <c r="E131" s="31" t="s">
        <v>7148</v>
      </c>
      <c r="I131" s="31" t="s">
        <v>7188</v>
      </c>
    </row>
    <row r="132" spans="1:9">
      <c r="A132" s="31" t="s">
        <v>7105</v>
      </c>
      <c r="E132" s="31" t="s">
        <v>7149</v>
      </c>
      <c r="I132" s="31" t="s">
        <v>7189</v>
      </c>
    </row>
    <row r="133" spans="1:9">
      <c r="A133" s="31" t="s">
        <v>7106</v>
      </c>
      <c r="E133" s="31" t="s">
        <v>7150</v>
      </c>
      <c r="I133" s="31" t="s">
        <v>7190</v>
      </c>
    </row>
    <row r="134" spans="1:9">
      <c r="A134" s="31" t="s">
        <v>7107</v>
      </c>
      <c r="E134" s="31" t="s">
        <v>7151</v>
      </c>
      <c r="I134" s="31" t="s">
        <v>7191</v>
      </c>
    </row>
    <row r="135" spans="1:9">
      <c r="A135" s="31" t="s">
        <v>7108</v>
      </c>
      <c r="E135" s="31" t="s">
        <v>7152</v>
      </c>
      <c r="I135" s="31" t="s">
        <v>7192</v>
      </c>
    </row>
    <row r="136" spans="1:9">
      <c r="A136" s="31" t="s">
        <v>7109</v>
      </c>
      <c r="E136" s="31" t="s">
        <v>7153</v>
      </c>
      <c r="I136" s="31" t="s">
        <v>7193</v>
      </c>
    </row>
    <row r="137" spans="1:9">
      <c r="A137" s="31" t="s">
        <v>7110</v>
      </c>
      <c r="E137" s="31" t="s">
        <v>7154</v>
      </c>
      <c r="I137" s="31" t="s">
        <v>7194</v>
      </c>
    </row>
    <row r="138" spans="1:9">
      <c r="A138" s="31" t="s">
        <v>7111</v>
      </c>
      <c r="E138" s="31" t="s">
        <v>7155</v>
      </c>
      <c r="I138" s="31" t="s">
        <v>7195</v>
      </c>
    </row>
    <row r="139" spans="1:9">
      <c r="A139" s="31" t="s">
        <v>7112</v>
      </c>
      <c r="E139" s="31" t="s">
        <v>7156</v>
      </c>
      <c r="I139" s="31" t="s">
        <v>7196</v>
      </c>
    </row>
    <row r="140" spans="1:9">
      <c r="A140" s="31" t="s">
        <v>7113</v>
      </c>
      <c r="E140" s="31" t="s">
        <v>7157</v>
      </c>
      <c r="I140" s="31" t="s">
        <v>7197</v>
      </c>
    </row>
    <row r="141" spans="1:9">
      <c r="A141" s="31" t="s">
        <v>7114</v>
      </c>
      <c r="E141" s="31" t="s">
        <v>7158</v>
      </c>
      <c r="I141" s="31" t="s">
        <v>7198</v>
      </c>
    </row>
    <row r="142" spans="1:9">
      <c r="A142" s="31" t="s">
        <v>7115</v>
      </c>
      <c r="E142" s="31" t="s">
        <v>7159</v>
      </c>
      <c r="I142" s="31" t="s">
        <v>7199</v>
      </c>
    </row>
    <row r="143" spans="1:9">
      <c r="A143" s="31" t="s">
        <v>7116</v>
      </c>
      <c r="E143" s="31" t="s">
        <v>7160</v>
      </c>
      <c r="I143" s="31" t="s">
        <v>7200</v>
      </c>
    </row>
    <row r="144" spans="1:9">
      <c r="A144" s="31" t="s">
        <v>7117</v>
      </c>
      <c r="E144" s="31" t="s">
        <v>7161</v>
      </c>
      <c r="I144" s="31" t="s">
        <v>7201</v>
      </c>
    </row>
    <row r="145" spans="1:9">
      <c r="A145" s="31" t="s">
        <v>7118</v>
      </c>
      <c r="E145" s="31" t="s">
        <v>7162</v>
      </c>
      <c r="I145" s="31" t="s">
        <v>7202</v>
      </c>
    </row>
    <row r="146" spans="1:9">
      <c r="A146" s="31" t="s">
        <v>7119</v>
      </c>
      <c r="E146" s="31" t="s">
        <v>7163</v>
      </c>
      <c r="I146" s="31" t="s">
        <v>7203</v>
      </c>
    </row>
    <row r="147" spans="1:9">
      <c r="A147" s="31" t="s">
        <v>7120</v>
      </c>
      <c r="E147" s="31" t="s">
        <v>7164</v>
      </c>
      <c r="I147" s="31" t="s">
        <v>7204</v>
      </c>
    </row>
    <row r="148" spans="1:9">
      <c r="A148" s="31" t="s">
        <v>7121</v>
      </c>
      <c r="E148" s="31" t="s">
        <v>7165</v>
      </c>
      <c r="I148" s="31" t="s">
        <v>7205</v>
      </c>
    </row>
    <row r="149" spans="1:9">
      <c r="A149" s="31" t="s">
        <v>7122</v>
      </c>
      <c r="I149" s="31" t="s">
        <v>7206</v>
      </c>
    </row>
    <row r="150" spans="1:9">
      <c r="A150" s="31" t="s">
        <v>7123</v>
      </c>
      <c r="I150" s="31" t="s">
        <v>7207</v>
      </c>
    </row>
    <row r="151" spans="1:9">
      <c r="A151" s="31" t="s">
        <v>7124</v>
      </c>
      <c r="I151" s="31" t="s">
        <v>7208</v>
      </c>
    </row>
    <row r="152" spans="1:9">
      <c r="A152" s="31" t="s">
        <v>7125</v>
      </c>
      <c r="I152" s="31" t="s">
        <v>7209</v>
      </c>
    </row>
    <row r="153" spans="1:9">
      <c r="I153" s="31" t="s">
        <v>7210</v>
      </c>
    </row>
    <row r="154" spans="1:9">
      <c r="I154" s="31" t="s">
        <v>7211</v>
      </c>
    </row>
    <row r="155" spans="1:9">
      <c r="I155" s="31" t="s">
        <v>7212</v>
      </c>
    </row>
    <row r="156" spans="1:9">
      <c r="I156" s="31" t="s">
        <v>7213</v>
      </c>
    </row>
    <row r="157" spans="1:9">
      <c r="I157" s="31" t="s">
        <v>7214</v>
      </c>
    </row>
    <row r="158" spans="1:9">
      <c r="I158" s="31" t="s">
        <v>7215</v>
      </c>
    </row>
    <row r="159" spans="1:9">
      <c r="I159" s="31" t="s">
        <v>7216</v>
      </c>
    </row>
    <row r="160" spans="1:9">
      <c r="I160" s="31" t="s">
        <v>7217</v>
      </c>
    </row>
    <row r="161" spans="9:9">
      <c r="I161" s="31" t="s">
        <v>7218</v>
      </c>
    </row>
    <row r="162" spans="9:9">
      <c r="I162" s="31" t="s">
        <v>7219</v>
      </c>
    </row>
    <row r="163" spans="9:9">
      <c r="I163" s="31" t="s">
        <v>7220</v>
      </c>
    </row>
    <row r="164" spans="9:9">
      <c r="I164" s="31" t="s">
        <v>7221</v>
      </c>
    </row>
    <row r="165" spans="9:9">
      <c r="I165" s="31" t="s">
        <v>7222</v>
      </c>
    </row>
    <row r="166" spans="9:9">
      <c r="I166" s="31" t="s">
        <v>7223</v>
      </c>
    </row>
    <row r="167" spans="9:9">
      <c r="I167" s="31" t="s">
        <v>7224</v>
      </c>
    </row>
    <row r="168" spans="9:9">
      <c r="I168" s="31" t="s">
        <v>7225</v>
      </c>
    </row>
    <row r="169" spans="9:9">
      <c r="I169" s="31" t="s">
        <v>7226</v>
      </c>
    </row>
    <row r="170" spans="9:9">
      <c r="I170" s="31" t="s">
        <v>7227</v>
      </c>
    </row>
    <row r="171" spans="9:9">
      <c r="I171" s="31" t="s">
        <v>7228</v>
      </c>
    </row>
    <row r="172" spans="9:9">
      <c r="I172" s="31" t="s">
        <v>7229</v>
      </c>
    </row>
    <row r="173" spans="9:9">
      <c r="I173" s="31" t="s">
        <v>7230</v>
      </c>
    </row>
    <row r="174" spans="9:9">
      <c r="I174" s="31" t="s">
        <v>7231</v>
      </c>
    </row>
    <row r="175" spans="9:9">
      <c r="I175" s="31" t="s">
        <v>7232</v>
      </c>
    </row>
    <row r="176" spans="9:9">
      <c r="I176" s="31" t="s">
        <v>7233</v>
      </c>
    </row>
    <row r="178" spans="1:9">
      <c r="A178" s="29" t="s">
        <v>7234</v>
      </c>
      <c r="E178" s="29" t="s">
        <v>7262</v>
      </c>
      <c r="I178" s="29" t="s">
        <v>7354</v>
      </c>
    </row>
    <row r="179" spans="1:9">
      <c r="A179" s="31" t="s">
        <v>7235</v>
      </c>
      <c r="E179" s="30" t="s">
        <v>7263</v>
      </c>
      <c r="I179" s="31" t="s">
        <v>7355</v>
      </c>
    </row>
    <row r="180" spans="1:9">
      <c r="A180" s="31" t="s">
        <v>7236</v>
      </c>
      <c r="E180" s="30" t="s">
        <v>7264</v>
      </c>
      <c r="I180" s="31" t="s">
        <v>7356</v>
      </c>
    </row>
    <row r="181" spans="1:9">
      <c r="A181" s="31" t="s">
        <v>7237</v>
      </c>
      <c r="E181" s="30" t="s">
        <v>7265</v>
      </c>
      <c r="I181" s="31" t="s">
        <v>7357</v>
      </c>
    </row>
    <row r="182" spans="1:9">
      <c r="A182" s="31" t="s">
        <v>7238</v>
      </c>
      <c r="E182" s="30" t="s">
        <v>7266</v>
      </c>
      <c r="I182" s="31" t="s">
        <v>7358</v>
      </c>
    </row>
    <row r="183" spans="1:9">
      <c r="A183" s="31" t="s">
        <v>7239</v>
      </c>
      <c r="E183" s="30" t="s">
        <v>7267</v>
      </c>
      <c r="I183" s="31" t="s">
        <v>7359</v>
      </c>
    </row>
    <row r="184" spans="1:9">
      <c r="A184" s="31" t="s">
        <v>7240</v>
      </c>
      <c r="E184" s="30" t="s">
        <v>7268</v>
      </c>
      <c r="I184" s="31" t="s">
        <v>7360</v>
      </c>
    </row>
    <row r="185" spans="1:9">
      <c r="A185" s="31" t="s">
        <v>7241</v>
      </c>
      <c r="E185" s="30" t="s">
        <v>7269</v>
      </c>
      <c r="I185" s="31" t="s">
        <v>7361</v>
      </c>
    </row>
    <row r="186" spans="1:9">
      <c r="A186" s="31" t="s">
        <v>7242</v>
      </c>
      <c r="E186" s="30" t="s">
        <v>7270</v>
      </c>
      <c r="I186" s="31" t="s">
        <v>7362</v>
      </c>
    </row>
    <row r="187" spans="1:9">
      <c r="A187" s="31" t="s">
        <v>7243</v>
      </c>
      <c r="E187" s="30" t="s">
        <v>7271</v>
      </c>
      <c r="I187" s="31" t="s">
        <v>7363</v>
      </c>
    </row>
    <row r="188" spans="1:9">
      <c r="A188" s="31" t="s">
        <v>7244</v>
      </c>
      <c r="E188" s="30" t="s">
        <v>7272</v>
      </c>
      <c r="I188" s="31" t="s">
        <v>7364</v>
      </c>
    </row>
    <row r="189" spans="1:9">
      <c r="A189" s="31" t="s">
        <v>7245</v>
      </c>
      <c r="E189" s="30" t="s">
        <v>7273</v>
      </c>
      <c r="I189" s="31" t="s">
        <v>7365</v>
      </c>
    </row>
    <row r="190" spans="1:9">
      <c r="A190" s="31" t="s">
        <v>7246</v>
      </c>
      <c r="E190" s="30" t="s">
        <v>7274</v>
      </c>
      <c r="I190" s="31" t="s">
        <v>7366</v>
      </c>
    </row>
    <row r="191" spans="1:9">
      <c r="A191" s="31" t="s">
        <v>7247</v>
      </c>
      <c r="E191" s="30" t="s">
        <v>7275</v>
      </c>
      <c r="I191" s="31" t="s">
        <v>7367</v>
      </c>
    </row>
    <row r="192" spans="1:9">
      <c r="A192" s="31" t="s">
        <v>7248</v>
      </c>
      <c r="E192" s="30" t="s">
        <v>7276</v>
      </c>
      <c r="I192" s="31" t="s">
        <v>7368</v>
      </c>
    </row>
    <row r="193" spans="1:9">
      <c r="A193" s="31" t="s">
        <v>7249</v>
      </c>
      <c r="E193" s="30" t="s">
        <v>7277</v>
      </c>
      <c r="I193" s="31" t="s">
        <v>7369</v>
      </c>
    </row>
    <row r="194" spans="1:9">
      <c r="A194" s="31" t="s">
        <v>7250</v>
      </c>
      <c r="E194" s="30" t="s">
        <v>7278</v>
      </c>
      <c r="I194" s="31" t="s">
        <v>7370</v>
      </c>
    </row>
    <row r="195" spans="1:9">
      <c r="A195" s="31" t="s">
        <v>7251</v>
      </c>
      <c r="E195" s="30" t="s">
        <v>7279</v>
      </c>
      <c r="I195" s="31" t="s">
        <v>7371</v>
      </c>
    </row>
    <row r="196" spans="1:9">
      <c r="A196" s="31" t="s">
        <v>7252</v>
      </c>
      <c r="E196" s="30" t="s">
        <v>7280</v>
      </c>
      <c r="I196" s="31" t="s">
        <v>7372</v>
      </c>
    </row>
    <row r="197" spans="1:9">
      <c r="A197" s="31" t="s">
        <v>7253</v>
      </c>
      <c r="E197" s="30" t="s">
        <v>7281</v>
      </c>
      <c r="I197" s="31" t="s">
        <v>7373</v>
      </c>
    </row>
    <row r="198" spans="1:9">
      <c r="A198" s="31" t="s">
        <v>7254</v>
      </c>
      <c r="E198" s="30" t="s">
        <v>7282</v>
      </c>
      <c r="I198" s="31" t="s">
        <v>7374</v>
      </c>
    </row>
    <row r="199" spans="1:9">
      <c r="A199" s="31" t="s">
        <v>7255</v>
      </c>
      <c r="E199" s="30" t="s">
        <v>7283</v>
      </c>
      <c r="I199" s="31" t="s">
        <v>7375</v>
      </c>
    </row>
    <row r="200" spans="1:9">
      <c r="A200" s="31" t="s">
        <v>7256</v>
      </c>
      <c r="E200" s="30" t="s">
        <v>7284</v>
      </c>
      <c r="I200" s="31" t="s">
        <v>7376</v>
      </c>
    </row>
    <row r="201" spans="1:9">
      <c r="A201" s="31" t="s">
        <v>7257</v>
      </c>
      <c r="E201" s="30" t="s">
        <v>7285</v>
      </c>
      <c r="I201" s="31" t="s">
        <v>7377</v>
      </c>
    </row>
    <row r="202" spans="1:9">
      <c r="A202" s="31" t="s">
        <v>7258</v>
      </c>
      <c r="E202" s="30" t="s">
        <v>7286</v>
      </c>
      <c r="I202" s="31" t="s">
        <v>7378</v>
      </c>
    </row>
    <row r="203" spans="1:9">
      <c r="A203" s="31" t="s">
        <v>7259</v>
      </c>
      <c r="E203" s="30" t="s">
        <v>7287</v>
      </c>
      <c r="I203" s="31" t="s">
        <v>7379</v>
      </c>
    </row>
    <row r="204" spans="1:9">
      <c r="A204" s="31" t="s">
        <v>7260</v>
      </c>
      <c r="E204" s="30" t="s">
        <v>7288</v>
      </c>
      <c r="I204" s="31" t="s">
        <v>7380</v>
      </c>
    </row>
    <row r="205" spans="1:9">
      <c r="A205" s="31" t="s">
        <v>7261</v>
      </c>
      <c r="E205" s="30" t="s">
        <v>7289</v>
      </c>
      <c r="I205" s="31" t="s">
        <v>7381</v>
      </c>
    </row>
    <row r="206" spans="1:9">
      <c r="E206" s="30" t="s">
        <v>7290</v>
      </c>
      <c r="I206" s="31" t="s">
        <v>7382</v>
      </c>
    </row>
    <row r="207" spans="1:9">
      <c r="E207" s="30" t="s">
        <v>7291</v>
      </c>
      <c r="I207" s="31" t="s">
        <v>7383</v>
      </c>
    </row>
    <row r="208" spans="1:9">
      <c r="E208" s="30" t="s">
        <v>7292</v>
      </c>
      <c r="I208" s="31" t="s">
        <v>7384</v>
      </c>
    </row>
    <row r="209" spans="5:9">
      <c r="E209" s="30" t="s">
        <v>7293</v>
      </c>
      <c r="I209" s="31" t="s">
        <v>7385</v>
      </c>
    </row>
    <row r="210" spans="5:9">
      <c r="E210" s="30" t="s">
        <v>7294</v>
      </c>
      <c r="I210" s="31" t="s">
        <v>7386</v>
      </c>
    </row>
    <row r="211" spans="5:9">
      <c r="E211" s="30" t="s">
        <v>7295</v>
      </c>
      <c r="I211" s="31" t="s">
        <v>7387</v>
      </c>
    </row>
    <row r="212" spans="5:9">
      <c r="E212" s="30" t="s">
        <v>7296</v>
      </c>
      <c r="I212" s="31" t="s">
        <v>7388</v>
      </c>
    </row>
    <row r="213" spans="5:9">
      <c r="E213" s="30" t="s">
        <v>7297</v>
      </c>
      <c r="I213" s="31" t="s">
        <v>7389</v>
      </c>
    </row>
    <row r="214" spans="5:9">
      <c r="E214" s="30" t="s">
        <v>7298</v>
      </c>
      <c r="I214" s="31" t="s">
        <v>7390</v>
      </c>
    </row>
    <row r="215" spans="5:9">
      <c r="E215" s="30" t="s">
        <v>7299</v>
      </c>
      <c r="I215" s="31" t="s">
        <v>7391</v>
      </c>
    </row>
    <row r="216" spans="5:9">
      <c r="E216" s="30" t="s">
        <v>7300</v>
      </c>
      <c r="I216" s="31" t="s">
        <v>7392</v>
      </c>
    </row>
    <row r="217" spans="5:9">
      <c r="E217" s="30" t="s">
        <v>7301</v>
      </c>
      <c r="I217" s="31" t="s">
        <v>7393</v>
      </c>
    </row>
    <row r="218" spans="5:9">
      <c r="E218" s="30" t="s">
        <v>7302</v>
      </c>
      <c r="I218" s="31" t="s">
        <v>7394</v>
      </c>
    </row>
    <row r="219" spans="5:9">
      <c r="E219" s="30" t="s">
        <v>7303</v>
      </c>
      <c r="I219" s="31" t="s">
        <v>7395</v>
      </c>
    </row>
    <row r="220" spans="5:9">
      <c r="E220" s="30" t="s">
        <v>7304</v>
      </c>
      <c r="I220" s="31" t="s">
        <v>7396</v>
      </c>
    </row>
    <row r="221" spans="5:9">
      <c r="E221" s="30" t="s">
        <v>7305</v>
      </c>
      <c r="I221" s="31" t="s">
        <v>7397</v>
      </c>
    </row>
    <row r="222" spans="5:9">
      <c r="E222" s="30" t="s">
        <v>7306</v>
      </c>
      <c r="I222" s="31" t="s">
        <v>7398</v>
      </c>
    </row>
    <row r="223" spans="5:9">
      <c r="E223" s="30" t="s">
        <v>7307</v>
      </c>
      <c r="I223" s="31" t="s">
        <v>7399</v>
      </c>
    </row>
    <row r="224" spans="5:9">
      <c r="E224" s="30" t="s">
        <v>7308</v>
      </c>
      <c r="I224" s="31" t="s">
        <v>7400</v>
      </c>
    </row>
    <row r="225" spans="5:9">
      <c r="E225" s="30" t="s">
        <v>7309</v>
      </c>
      <c r="I225" s="31" t="s">
        <v>7401</v>
      </c>
    </row>
    <row r="226" spans="5:9">
      <c r="E226" s="30" t="s">
        <v>7310</v>
      </c>
      <c r="I226" s="31" t="s">
        <v>7402</v>
      </c>
    </row>
    <row r="227" spans="5:9">
      <c r="E227" s="30" t="s">
        <v>7311</v>
      </c>
    </row>
    <row r="228" spans="5:9">
      <c r="E228" s="30" t="s">
        <v>7312</v>
      </c>
    </row>
    <row r="229" spans="5:9">
      <c r="E229" s="30" t="s">
        <v>7313</v>
      </c>
    </row>
    <row r="230" spans="5:9">
      <c r="E230" s="30" t="s">
        <v>7314</v>
      </c>
    </row>
    <row r="231" spans="5:9">
      <c r="E231" s="30" t="s">
        <v>7315</v>
      </c>
    </row>
    <row r="232" spans="5:9">
      <c r="E232" s="30" t="s">
        <v>7316</v>
      </c>
    </row>
    <row r="233" spans="5:9">
      <c r="E233" s="30" t="s">
        <v>7317</v>
      </c>
    </row>
    <row r="234" spans="5:9">
      <c r="E234" s="30" t="s">
        <v>7318</v>
      </c>
    </row>
    <row r="235" spans="5:9">
      <c r="E235" s="30" t="s">
        <v>7319</v>
      </c>
    </row>
    <row r="236" spans="5:9">
      <c r="E236" s="30" t="s">
        <v>7320</v>
      </c>
    </row>
    <row r="237" spans="5:9">
      <c r="E237" s="30" t="s">
        <v>7321</v>
      </c>
    </row>
    <row r="238" spans="5:9">
      <c r="E238" s="30" t="s">
        <v>7322</v>
      </c>
    </row>
    <row r="239" spans="5:9">
      <c r="E239" s="30" t="s">
        <v>7323</v>
      </c>
    </row>
    <row r="240" spans="5:9">
      <c r="E240" s="30" t="s">
        <v>7324</v>
      </c>
    </row>
    <row r="241" spans="5:5">
      <c r="E241" s="30" t="s">
        <v>7325</v>
      </c>
    </row>
    <row r="242" spans="5:5">
      <c r="E242" s="30" t="s">
        <v>7326</v>
      </c>
    </row>
    <row r="243" spans="5:5">
      <c r="E243" s="30" t="s">
        <v>7327</v>
      </c>
    </row>
    <row r="244" spans="5:5">
      <c r="E244" s="30" t="s">
        <v>7328</v>
      </c>
    </row>
    <row r="245" spans="5:5">
      <c r="E245" s="30" t="s">
        <v>7329</v>
      </c>
    </row>
    <row r="246" spans="5:5">
      <c r="E246" s="30" t="s">
        <v>7330</v>
      </c>
    </row>
    <row r="247" spans="5:5">
      <c r="E247" s="30" t="s">
        <v>7331</v>
      </c>
    </row>
    <row r="248" spans="5:5">
      <c r="E248" s="30" t="s">
        <v>7332</v>
      </c>
    </row>
    <row r="249" spans="5:5">
      <c r="E249" s="30" t="s">
        <v>7333</v>
      </c>
    </row>
    <row r="250" spans="5:5">
      <c r="E250" s="30" t="s">
        <v>7334</v>
      </c>
    </row>
    <row r="251" spans="5:5">
      <c r="E251" s="30" t="s">
        <v>7335</v>
      </c>
    </row>
    <row r="252" spans="5:5">
      <c r="E252" s="30" t="s">
        <v>7336</v>
      </c>
    </row>
    <row r="253" spans="5:5">
      <c r="E253" s="30" t="s">
        <v>7337</v>
      </c>
    </row>
    <row r="254" spans="5:5">
      <c r="E254" s="30" t="s">
        <v>7338</v>
      </c>
    </row>
    <row r="255" spans="5:5">
      <c r="E255" s="30" t="s">
        <v>7339</v>
      </c>
    </row>
    <row r="256" spans="5:5">
      <c r="E256" s="30" t="s">
        <v>7340</v>
      </c>
    </row>
    <row r="257" spans="5:5">
      <c r="E257" s="30" t="s">
        <v>7341</v>
      </c>
    </row>
    <row r="258" spans="5:5">
      <c r="E258" s="30" t="s">
        <v>7342</v>
      </c>
    </row>
    <row r="259" spans="5:5">
      <c r="E259" s="30" t="s">
        <v>7343</v>
      </c>
    </row>
    <row r="260" spans="5:5">
      <c r="E260" s="30" t="s">
        <v>7344</v>
      </c>
    </row>
    <row r="261" spans="5:5">
      <c r="E261" s="30" t="s">
        <v>7345</v>
      </c>
    </row>
    <row r="262" spans="5:5">
      <c r="E262" s="30" t="s">
        <v>7346</v>
      </c>
    </row>
    <row r="263" spans="5:5">
      <c r="E263" s="30" t="s">
        <v>7347</v>
      </c>
    </row>
    <row r="264" spans="5:5">
      <c r="E264" s="30" t="s">
        <v>7348</v>
      </c>
    </row>
    <row r="265" spans="5:5">
      <c r="E265" s="30" t="s">
        <v>7349</v>
      </c>
    </row>
    <row r="266" spans="5:5">
      <c r="E266" s="30" t="s">
        <v>7350</v>
      </c>
    </row>
    <row r="267" spans="5:5">
      <c r="E267" s="30" t="s">
        <v>7351</v>
      </c>
    </row>
    <row r="268" spans="5:5">
      <c r="E268" s="30" t="s">
        <v>7352</v>
      </c>
    </row>
    <row r="269" spans="5:5">
      <c r="E269" s="30" t="s">
        <v>7353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B5BB4-031E-4FC5-8476-4EF2B890CFE1}">
  <sheetPr codeName="Лист28">
    <tabColor rgb="FFFFFF00"/>
  </sheetPr>
  <dimension ref="A1:A110"/>
  <sheetViews>
    <sheetView workbookViewId="0">
      <selection activeCell="E67" sqref="E67"/>
    </sheetView>
  </sheetViews>
  <sheetFormatPr defaultRowHeight="15"/>
  <cols>
    <col min="1" max="16384" width="9.140625" style="6"/>
  </cols>
  <sheetData>
    <row r="1" spans="1:1">
      <c r="A1" s="3" t="s">
        <v>1424</v>
      </c>
    </row>
    <row r="2" spans="1:1">
      <c r="A2" s="3" t="s">
        <v>1425</v>
      </c>
    </row>
    <row r="3" spans="1:1">
      <c r="A3" s="5" t="s">
        <v>1426</v>
      </c>
    </row>
    <row r="4" spans="1:1">
      <c r="A4" s="5" t="s">
        <v>1427</v>
      </c>
    </row>
    <row r="5" spans="1:1">
      <c r="A5" s="5" t="s">
        <v>1428</v>
      </c>
    </row>
    <row r="6" spans="1:1">
      <c r="A6" s="5" t="s">
        <v>1429</v>
      </c>
    </row>
    <row r="7" spans="1:1">
      <c r="A7" s="5" t="s">
        <v>1430</v>
      </c>
    </row>
    <row r="8" spans="1:1">
      <c r="A8" s="5" t="s">
        <v>1431</v>
      </c>
    </row>
    <row r="9" spans="1:1">
      <c r="A9" s="5" t="s">
        <v>1432</v>
      </c>
    </row>
    <row r="10" spans="1:1">
      <c r="A10" s="5" t="s">
        <v>1433</v>
      </c>
    </row>
    <row r="11" spans="1:1">
      <c r="A11" s="5" t="s">
        <v>1434</v>
      </c>
    </row>
    <row r="12" spans="1:1">
      <c r="A12" s="5" t="s">
        <v>1435</v>
      </c>
    </row>
    <row r="13" spans="1:1">
      <c r="A13" s="5" t="s">
        <v>1436</v>
      </c>
    </row>
    <row r="14" spans="1:1">
      <c r="A14" s="5" t="s">
        <v>1437</v>
      </c>
    </row>
    <row r="15" spans="1:1">
      <c r="A15" s="5" t="s">
        <v>1438</v>
      </c>
    </row>
    <row r="16" spans="1:1">
      <c r="A16" s="5" t="s">
        <v>1439</v>
      </c>
    </row>
    <row r="17" spans="1:1">
      <c r="A17" s="5" t="s">
        <v>1440</v>
      </c>
    </row>
    <row r="18" spans="1:1">
      <c r="A18" s="5" t="s">
        <v>1441</v>
      </c>
    </row>
    <row r="19" spans="1:1">
      <c r="A19" s="5" t="s">
        <v>1442</v>
      </c>
    </row>
    <row r="20" spans="1:1">
      <c r="A20" s="5" t="s">
        <v>1443</v>
      </c>
    </row>
    <row r="21" spans="1:1">
      <c r="A21" s="5" t="s">
        <v>1444</v>
      </c>
    </row>
    <row r="22" spans="1:1">
      <c r="A22" s="5" t="s">
        <v>1445</v>
      </c>
    </row>
    <row r="23" spans="1:1">
      <c r="A23" s="5"/>
    </row>
    <row r="24" spans="1:1">
      <c r="A24" s="3" t="s">
        <v>1446</v>
      </c>
    </row>
    <row r="25" spans="1:1">
      <c r="A25" s="5" t="s">
        <v>1447</v>
      </c>
    </row>
    <row r="26" spans="1:1">
      <c r="A26" s="5" t="s">
        <v>1448</v>
      </c>
    </row>
    <row r="27" spans="1:1">
      <c r="A27" s="5" t="s">
        <v>1449</v>
      </c>
    </row>
    <row r="28" spans="1:1">
      <c r="A28" s="5" t="s">
        <v>1450</v>
      </c>
    </row>
    <row r="29" spans="1:1">
      <c r="A29" s="5" t="s">
        <v>1451</v>
      </c>
    </row>
    <row r="30" spans="1:1">
      <c r="A30" s="5" t="s">
        <v>1452</v>
      </c>
    </row>
    <row r="31" spans="1:1">
      <c r="A31" s="5" t="s">
        <v>1453</v>
      </c>
    </row>
    <row r="32" spans="1:1">
      <c r="A32" s="5" t="s">
        <v>1454</v>
      </c>
    </row>
    <row r="33" spans="1:1">
      <c r="A33" s="5" t="s">
        <v>1455</v>
      </c>
    </row>
    <row r="34" spans="1:1">
      <c r="A34" s="5" t="s">
        <v>1456</v>
      </c>
    </row>
    <row r="35" spans="1:1">
      <c r="A35" s="5" t="s">
        <v>1457</v>
      </c>
    </row>
    <row r="36" spans="1:1">
      <c r="A36" s="5" t="s">
        <v>1458</v>
      </c>
    </row>
    <row r="37" spans="1:1">
      <c r="A37" s="5" t="s">
        <v>1459</v>
      </c>
    </row>
    <row r="38" spans="1:1">
      <c r="A38" s="5" t="s">
        <v>1460</v>
      </c>
    </row>
    <row r="39" spans="1:1">
      <c r="A39" s="5" t="s">
        <v>1461</v>
      </c>
    </row>
    <row r="40" spans="1:1">
      <c r="A40" s="5" t="s">
        <v>1462</v>
      </c>
    </row>
    <row r="41" spans="1:1">
      <c r="A41" s="5" t="s">
        <v>1463</v>
      </c>
    </row>
    <row r="42" spans="1:1">
      <c r="A42" s="5" t="s">
        <v>1464</v>
      </c>
    </row>
    <row r="43" spans="1:1">
      <c r="A43" s="5" t="s">
        <v>1465</v>
      </c>
    </row>
    <row r="44" spans="1:1">
      <c r="A44" s="5" t="s">
        <v>1466</v>
      </c>
    </row>
    <row r="45" spans="1:1">
      <c r="A45" s="5"/>
    </row>
    <row r="46" spans="1:1">
      <c r="A46" s="3" t="s">
        <v>1467</v>
      </c>
    </row>
    <row r="47" spans="1:1">
      <c r="A47" s="5" t="s">
        <v>1468</v>
      </c>
    </row>
    <row r="48" spans="1:1">
      <c r="A48" s="5" t="s">
        <v>1469</v>
      </c>
    </row>
    <row r="49" spans="1:1">
      <c r="A49" s="5" t="s">
        <v>1470</v>
      </c>
    </row>
    <row r="50" spans="1:1">
      <c r="A50" s="5" t="s">
        <v>1471</v>
      </c>
    </row>
    <row r="51" spans="1:1">
      <c r="A51" s="5" t="s">
        <v>1472</v>
      </c>
    </row>
    <row r="52" spans="1:1">
      <c r="A52" s="5" t="s">
        <v>1473</v>
      </c>
    </row>
    <row r="53" spans="1:1">
      <c r="A53" s="5" t="s">
        <v>1474</v>
      </c>
    </row>
    <row r="54" spans="1:1">
      <c r="A54" s="5" t="s">
        <v>1475</v>
      </c>
    </row>
    <row r="55" spans="1:1">
      <c r="A55" s="5" t="s">
        <v>1476</v>
      </c>
    </row>
    <row r="56" spans="1:1">
      <c r="A56" s="5" t="s">
        <v>1477</v>
      </c>
    </row>
    <row r="57" spans="1:1">
      <c r="A57" s="5" t="s">
        <v>1478</v>
      </c>
    </row>
    <row r="58" spans="1:1">
      <c r="A58" s="5" t="s">
        <v>1479</v>
      </c>
    </row>
    <row r="59" spans="1:1">
      <c r="A59" s="5" t="s">
        <v>1480</v>
      </c>
    </row>
    <row r="60" spans="1:1">
      <c r="A60" s="5" t="s">
        <v>1481</v>
      </c>
    </row>
    <row r="61" spans="1:1">
      <c r="A61" s="5" t="s">
        <v>1482</v>
      </c>
    </row>
    <row r="62" spans="1:1">
      <c r="A62" s="5" t="s">
        <v>1483</v>
      </c>
    </row>
    <row r="63" spans="1:1">
      <c r="A63" s="5" t="s">
        <v>1484</v>
      </c>
    </row>
    <row r="64" spans="1:1">
      <c r="A64" s="5" t="s">
        <v>1485</v>
      </c>
    </row>
    <row r="65" spans="1:1">
      <c r="A65" s="5" t="s">
        <v>1486</v>
      </c>
    </row>
    <row r="66" spans="1:1">
      <c r="A66" s="5" t="s">
        <v>1487</v>
      </c>
    </row>
    <row r="67" spans="1:1">
      <c r="A67" s="5"/>
    </row>
    <row r="68" spans="1:1">
      <c r="A68" s="3" t="s">
        <v>1488</v>
      </c>
    </row>
    <row r="69" spans="1:1">
      <c r="A69" s="5" t="s">
        <v>1489</v>
      </c>
    </row>
    <row r="70" spans="1:1">
      <c r="A70" s="5" t="s">
        <v>1490</v>
      </c>
    </row>
    <row r="71" spans="1:1">
      <c r="A71" s="5" t="s">
        <v>1491</v>
      </c>
    </row>
    <row r="72" spans="1:1">
      <c r="A72" s="5" t="s">
        <v>1492</v>
      </c>
    </row>
    <row r="73" spans="1:1">
      <c r="A73" s="5" t="s">
        <v>1493</v>
      </c>
    </row>
    <row r="74" spans="1:1">
      <c r="A74" s="5" t="s">
        <v>1494</v>
      </c>
    </row>
    <row r="75" spans="1:1">
      <c r="A75" s="5" t="s">
        <v>1495</v>
      </c>
    </row>
    <row r="76" spans="1:1">
      <c r="A76" s="5" t="s">
        <v>1496</v>
      </c>
    </row>
    <row r="77" spans="1:1">
      <c r="A77" s="5" t="s">
        <v>1497</v>
      </c>
    </row>
    <row r="78" spans="1:1">
      <c r="A78" s="5" t="s">
        <v>1498</v>
      </c>
    </row>
    <row r="79" spans="1:1">
      <c r="A79" s="5" t="s">
        <v>1499</v>
      </c>
    </row>
    <row r="80" spans="1:1">
      <c r="A80" s="5" t="s">
        <v>1500</v>
      </c>
    </row>
    <row r="81" spans="1:1">
      <c r="A81" s="5" t="s">
        <v>1501</v>
      </c>
    </row>
    <row r="82" spans="1:1">
      <c r="A82" s="5" t="s">
        <v>1502</v>
      </c>
    </row>
    <row r="83" spans="1:1">
      <c r="A83" s="5" t="s">
        <v>1503</v>
      </c>
    </row>
    <row r="84" spans="1:1">
      <c r="A84" s="5" t="s">
        <v>1504</v>
      </c>
    </row>
    <row r="85" spans="1:1">
      <c r="A85" s="5" t="s">
        <v>1505</v>
      </c>
    </row>
    <row r="86" spans="1:1">
      <c r="A86" s="5" t="s">
        <v>1506</v>
      </c>
    </row>
    <row r="87" spans="1:1">
      <c r="A87" s="5" t="s">
        <v>1507</v>
      </c>
    </row>
    <row r="88" spans="1:1">
      <c r="A88" s="5" t="s">
        <v>1508</v>
      </c>
    </row>
    <row r="89" spans="1:1">
      <c r="A89" s="5"/>
    </row>
    <row r="90" spans="1:1">
      <c r="A90" s="3" t="s">
        <v>1509</v>
      </c>
    </row>
    <row r="91" spans="1:1">
      <c r="A91" s="5" t="s">
        <v>1510</v>
      </c>
    </row>
    <row r="92" spans="1:1">
      <c r="A92" s="5" t="s">
        <v>1511</v>
      </c>
    </row>
    <row r="93" spans="1:1">
      <c r="A93" s="5" t="s">
        <v>1512</v>
      </c>
    </row>
    <row r="94" spans="1:1">
      <c r="A94" s="5" t="s">
        <v>1513</v>
      </c>
    </row>
    <row r="95" spans="1:1">
      <c r="A95" s="5" t="s">
        <v>1514</v>
      </c>
    </row>
    <row r="96" spans="1:1">
      <c r="A96" s="5" t="s">
        <v>1515</v>
      </c>
    </row>
    <row r="97" spans="1:1">
      <c r="A97" s="5" t="s">
        <v>1516</v>
      </c>
    </row>
    <row r="98" spans="1:1">
      <c r="A98" s="5" t="s">
        <v>1517</v>
      </c>
    </row>
    <row r="99" spans="1:1">
      <c r="A99" s="5" t="s">
        <v>1518</v>
      </c>
    </row>
    <row r="100" spans="1:1">
      <c r="A100" s="5" t="s">
        <v>1519</v>
      </c>
    </row>
    <row r="101" spans="1:1">
      <c r="A101" s="5" t="s">
        <v>1520</v>
      </c>
    </row>
    <row r="102" spans="1:1">
      <c r="A102" s="5" t="s">
        <v>1521</v>
      </c>
    </row>
    <row r="103" spans="1:1">
      <c r="A103" s="5" t="s">
        <v>1522</v>
      </c>
    </row>
    <row r="104" spans="1:1">
      <c r="A104" s="5" t="s">
        <v>1523</v>
      </c>
    </row>
    <row r="105" spans="1:1">
      <c r="A105" s="5" t="s">
        <v>1524</v>
      </c>
    </row>
    <row r="106" spans="1:1">
      <c r="A106" s="5" t="s">
        <v>1525</v>
      </c>
    </row>
    <row r="107" spans="1:1">
      <c r="A107" s="5" t="s">
        <v>1526</v>
      </c>
    </row>
    <row r="108" spans="1:1">
      <c r="A108" s="5" t="s">
        <v>1527</v>
      </c>
    </row>
    <row r="109" spans="1:1">
      <c r="A109" s="5" t="s">
        <v>1528</v>
      </c>
    </row>
    <row r="110" spans="1:1">
      <c r="A110" s="5" t="s">
        <v>1529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4B499-9C9C-42C2-AC1E-8591DC6D44B7}">
  <sheetPr codeName="Лист29">
    <tabColor rgb="FFFFFF00"/>
  </sheetPr>
  <dimension ref="A1:I96"/>
  <sheetViews>
    <sheetView workbookViewId="0">
      <selection activeCell="E67" sqref="E67"/>
    </sheetView>
  </sheetViews>
  <sheetFormatPr defaultRowHeight="15"/>
  <cols>
    <col min="1" max="16384" width="9.140625" style="6"/>
  </cols>
  <sheetData>
    <row r="1" spans="1:9" ht="18.75">
      <c r="A1" s="4" t="s">
        <v>1530</v>
      </c>
    </row>
    <row r="2" spans="1:9">
      <c r="A2" s="14" t="s">
        <v>629</v>
      </c>
    </row>
    <row r="3" spans="1:9">
      <c r="A3" s="3" t="s">
        <v>1531</v>
      </c>
      <c r="E3" s="3" t="s">
        <v>1539</v>
      </c>
      <c r="I3" s="3" t="s">
        <v>1552</v>
      </c>
    </row>
    <row r="4" spans="1:9">
      <c r="A4" s="5" t="s">
        <v>330</v>
      </c>
      <c r="E4" s="5" t="s">
        <v>1540</v>
      </c>
      <c r="I4" s="5" t="s">
        <v>1553</v>
      </c>
    </row>
    <row r="5" spans="1:9">
      <c r="A5" s="5" t="s">
        <v>331</v>
      </c>
      <c r="E5" s="5" t="s">
        <v>1541</v>
      </c>
      <c r="I5" s="5" t="s">
        <v>1554</v>
      </c>
    </row>
    <row r="6" spans="1:9">
      <c r="A6" s="5" t="s">
        <v>332</v>
      </c>
      <c r="E6" s="5" t="s">
        <v>1542</v>
      </c>
      <c r="I6" s="5" t="s">
        <v>1555</v>
      </c>
    </row>
    <row r="7" spans="1:9">
      <c r="A7" s="5" t="s">
        <v>333</v>
      </c>
      <c r="E7" s="5" t="s">
        <v>1543</v>
      </c>
      <c r="I7" s="5" t="s">
        <v>1556</v>
      </c>
    </row>
    <row r="8" spans="1:9">
      <c r="A8" s="5" t="s">
        <v>334</v>
      </c>
      <c r="E8" s="5" t="s">
        <v>1544</v>
      </c>
      <c r="I8" s="5" t="s">
        <v>1557</v>
      </c>
    </row>
    <row r="9" spans="1:9">
      <c r="A9" s="5" t="s">
        <v>1532</v>
      </c>
      <c r="E9" s="5" t="s">
        <v>1545</v>
      </c>
      <c r="I9" s="5" t="s">
        <v>103</v>
      </c>
    </row>
    <row r="10" spans="1:9">
      <c r="A10" s="5" t="s">
        <v>1533</v>
      </c>
      <c r="E10" s="5" t="s">
        <v>1546</v>
      </c>
      <c r="I10" s="5" t="s">
        <v>1558</v>
      </c>
    </row>
    <row r="11" spans="1:9">
      <c r="A11" s="5" t="s">
        <v>1534</v>
      </c>
      <c r="E11" s="5" t="s">
        <v>1547</v>
      </c>
      <c r="I11" s="5" t="s">
        <v>1559</v>
      </c>
    </row>
    <row r="12" spans="1:9">
      <c r="A12" s="5" t="s">
        <v>1535</v>
      </c>
      <c r="E12" s="5" t="s">
        <v>1548</v>
      </c>
      <c r="I12" s="5" t="s">
        <v>1560</v>
      </c>
    </row>
    <row r="13" spans="1:9">
      <c r="A13" s="5" t="s">
        <v>1536</v>
      </c>
      <c r="E13" s="5" t="s">
        <v>1549</v>
      </c>
      <c r="I13" s="5" t="s">
        <v>1561</v>
      </c>
    </row>
    <row r="14" spans="1:9">
      <c r="A14" s="5" t="s">
        <v>1537</v>
      </c>
      <c r="E14" s="5" t="s">
        <v>1550</v>
      </c>
      <c r="I14" s="5" t="s">
        <v>1562</v>
      </c>
    </row>
    <row r="15" spans="1:9">
      <c r="A15" s="5" t="s">
        <v>1538</v>
      </c>
      <c r="E15" s="5" t="s">
        <v>1551</v>
      </c>
      <c r="I15" s="5" t="s">
        <v>1563</v>
      </c>
    </row>
    <row r="17" spans="1:9">
      <c r="A17" s="3" t="s">
        <v>1564</v>
      </c>
      <c r="E17" s="3" t="s">
        <v>1571</v>
      </c>
      <c r="I17" s="3" t="s">
        <v>1582</v>
      </c>
    </row>
    <row r="18" spans="1:9">
      <c r="A18" s="5" t="s">
        <v>1565</v>
      </c>
      <c r="E18" s="5" t="s">
        <v>1572</v>
      </c>
      <c r="I18" s="5" t="s">
        <v>1583</v>
      </c>
    </row>
    <row r="19" spans="1:9">
      <c r="A19" s="5" t="s">
        <v>1566</v>
      </c>
      <c r="E19" s="5" t="s">
        <v>1573</v>
      </c>
      <c r="I19" s="5" t="s">
        <v>1584</v>
      </c>
    </row>
    <row r="20" spans="1:9">
      <c r="A20" s="5" t="s">
        <v>1567</v>
      </c>
      <c r="E20" s="5" t="s">
        <v>1574</v>
      </c>
      <c r="I20" s="5" t="s">
        <v>1585</v>
      </c>
    </row>
    <row r="21" spans="1:9">
      <c r="A21" s="5" t="s">
        <v>1568</v>
      </c>
      <c r="E21" s="5" t="s">
        <v>1575</v>
      </c>
      <c r="I21" s="5" t="s">
        <v>1586</v>
      </c>
    </row>
    <row r="22" spans="1:9">
      <c r="A22" s="5" t="s">
        <v>1569</v>
      </c>
      <c r="E22" s="5" t="s">
        <v>1576</v>
      </c>
      <c r="I22" s="5" t="s">
        <v>1587</v>
      </c>
    </row>
    <row r="23" spans="1:9">
      <c r="A23" s="5" t="s">
        <v>1570</v>
      </c>
      <c r="E23" s="5" t="s">
        <v>1577</v>
      </c>
      <c r="I23" s="5" t="s">
        <v>1588</v>
      </c>
    </row>
    <row r="24" spans="1:9">
      <c r="E24" s="5" t="s">
        <v>1578</v>
      </c>
    </row>
    <row r="25" spans="1:9">
      <c r="E25" s="5" t="s">
        <v>1579</v>
      </c>
    </row>
    <row r="26" spans="1:9">
      <c r="E26" s="5" t="s">
        <v>1580</v>
      </c>
    </row>
    <row r="27" spans="1:9">
      <c r="E27" s="5" t="s">
        <v>1581</v>
      </c>
    </row>
    <row r="29" spans="1:9">
      <c r="A29" s="3" t="s">
        <v>1589</v>
      </c>
    </row>
    <row r="30" spans="1:9">
      <c r="A30" s="5" t="s">
        <v>1590</v>
      </c>
    </row>
    <row r="31" spans="1:9">
      <c r="A31" s="5" t="s">
        <v>1591</v>
      </c>
    </row>
    <row r="32" spans="1:9">
      <c r="A32" s="5" t="s">
        <v>1592</v>
      </c>
    </row>
    <row r="33" spans="1:5">
      <c r="A33" s="5" t="s">
        <v>1593</v>
      </c>
    </row>
    <row r="34" spans="1:5">
      <c r="A34" s="5" t="s">
        <v>1594</v>
      </c>
    </row>
    <row r="35" spans="1:5">
      <c r="A35" s="5" t="s">
        <v>1595</v>
      </c>
    </row>
    <row r="36" spans="1:5">
      <c r="A36" s="5" t="s">
        <v>1596</v>
      </c>
    </row>
    <row r="37" spans="1:5">
      <c r="A37" s="5" t="s">
        <v>1597</v>
      </c>
    </row>
    <row r="38" spans="1:5">
      <c r="A38" s="5" t="s">
        <v>1598</v>
      </c>
    </row>
    <row r="39" spans="1:5">
      <c r="A39" s="5" t="s">
        <v>1599</v>
      </c>
    </row>
    <row r="40" spans="1:5">
      <c r="A40" s="5"/>
    </row>
    <row r="41" spans="1:5">
      <c r="A41" s="3" t="s">
        <v>1600</v>
      </c>
    </row>
    <row r="42" spans="1:5">
      <c r="A42" s="3" t="s">
        <v>1601</v>
      </c>
      <c r="E42" s="3" t="s">
        <v>1612</v>
      </c>
    </row>
    <row r="43" spans="1:5">
      <c r="A43" s="5" t="s">
        <v>1602</v>
      </c>
      <c r="E43" s="5" t="s">
        <v>265</v>
      </c>
    </row>
    <row r="44" spans="1:5">
      <c r="A44" s="5" t="s">
        <v>1603</v>
      </c>
      <c r="E44" s="5" t="s">
        <v>1613</v>
      </c>
    </row>
    <row r="45" spans="1:5">
      <c r="A45" s="5" t="s">
        <v>1604</v>
      </c>
      <c r="E45" s="5" t="s">
        <v>1614</v>
      </c>
    </row>
    <row r="46" spans="1:5">
      <c r="A46" s="5" t="s">
        <v>1605</v>
      </c>
      <c r="E46" s="5" t="s">
        <v>1615</v>
      </c>
    </row>
    <row r="47" spans="1:5">
      <c r="A47" s="5" t="s">
        <v>1606</v>
      </c>
      <c r="E47" s="5" t="s">
        <v>1616</v>
      </c>
    </row>
    <row r="48" spans="1:5">
      <c r="A48" s="5" t="s">
        <v>1607</v>
      </c>
      <c r="E48" s="5" t="s">
        <v>1617</v>
      </c>
    </row>
    <row r="49" spans="1:5">
      <c r="A49" s="5" t="s">
        <v>1608</v>
      </c>
    </row>
    <row r="50" spans="1:5">
      <c r="A50" s="5" t="s">
        <v>1609</v>
      </c>
    </row>
    <row r="51" spans="1:5">
      <c r="A51" s="5" t="s">
        <v>1610</v>
      </c>
    </row>
    <row r="52" spans="1:5">
      <c r="A52" s="5" t="s">
        <v>1611</v>
      </c>
    </row>
    <row r="54" spans="1:5">
      <c r="A54" s="3" t="s">
        <v>1618</v>
      </c>
      <c r="E54" s="3" t="s">
        <v>1631</v>
      </c>
    </row>
    <row r="55" spans="1:5">
      <c r="A55" s="5" t="s">
        <v>1619</v>
      </c>
      <c r="E55" s="5" t="s">
        <v>1632</v>
      </c>
    </row>
    <row r="56" spans="1:5">
      <c r="A56" s="5" t="s">
        <v>1620</v>
      </c>
      <c r="E56" s="5" t="s">
        <v>1633</v>
      </c>
    </row>
    <row r="57" spans="1:5">
      <c r="A57" s="5" t="s">
        <v>1621</v>
      </c>
      <c r="E57" s="5" t="s">
        <v>1634</v>
      </c>
    </row>
    <row r="58" spans="1:5">
      <c r="A58" s="5" t="s">
        <v>1622</v>
      </c>
      <c r="E58" s="5" t="s">
        <v>1635</v>
      </c>
    </row>
    <row r="59" spans="1:5">
      <c r="A59" s="5" t="s">
        <v>1623</v>
      </c>
      <c r="E59" s="5" t="s">
        <v>1636</v>
      </c>
    </row>
    <row r="60" spans="1:5">
      <c r="A60" s="5" t="s">
        <v>1624</v>
      </c>
      <c r="E60" s="5" t="s">
        <v>1637</v>
      </c>
    </row>
    <row r="61" spans="1:5">
      <c r="A61" s="5" t="s">
        <v>1625</v>
      </c>
      <c r="E61" s="5" t="s">
        <v>1638</v>
      </c>
    </row>
    <row r="62" spans="1:5">
      <c r="A62" s="5" t="s">
        <v>1626</v>
      </c>
      <c r="E62" s="5" t="s">
        <v>1639</v>
      </c>
    </row>
    <row r="63" spans="1:5">
      <c r="A63" s="5" t="s">
        <v>1627</v>
      </c>
      <c r="E63" s="5" t="s">
        <v>1640</v>
      </c>
    </row>
    <row r="64" spans="1:5">
      <c r="A64" s="5" t="s">
        <v>1628</v>
      </c>
      <c r="E64" s="5" t="s">
        <v>1641</v>
      </c>
    </row>
    <row r="65" spans="1:5">
      <c r="A65" s="5" t="s">
        <v>1629</v>
      </c>
    </row>
    <row r="66" spans="1:5">
      <c r="A66" s="5" t="s">
        <v>1630</v>
      </c>
    </row>
    <row r="69" spans="1:5">
      <c r="A69" s="3" t="s">
        <v>1642</v>
      </c>
    </row>
    <row r="70" spans="1:5">
      <c r="A70" s="3" t="s">
        <v>1643</v>
      </c>
      <c r="E70" s="3" t="s">
        <v>1654</v>
      </c>
    </row>
    <row r="71" spans="1:5">
      <c r="A71" s="5" t="s">
        <v>1644</v>
      </c>
      <c r="E71" s="5" t="s">
        <v>265</v>
      </c>
    </row>
    <row r="72" spans="1:5">
      <c r="A72" s="5" t="s">
        <v>1645</v>
      </c>
      <c r="E72" s="5" t="s">
        <v>1655</v>
      </c>
    </row>
    <row r="73" spans="1:5">
      <c r="A73" s="5" t="s">
        <v>1646</v>
      </c>
      <c r="E73" s="5" t="s">
        <v>1614</v>
      </c>
    </row>
    <row r="74" spans="1:5">
      <c r="A74" s="5" t="s">
        <v>1647</v>
      </c>
      <c r="E74" s="5" t="s">
        <v>1656</v>
      </c>
    </row>
    <row r="75" spans="1:5">
      <c r="A75" s="5" t="s">
        <v>1648</v>
      </c>
      <c r="E75" s="5" t="s">
        <v>1657</v>
      </c>
    </row>
    <row r="76" spans="1:5">
      <c r="A76" s="5" t="s">
        <v>1649</v>
      </c>
      <c r="E76" s="5" t="s">
        <v>1658</v>
      </c>
    </row>
    <row r="77" spans="1:5">
      <c r="A77" s="5" t="s">
        <v>1650</v>
      </c>
    </row>
    <row r="78" spans="1:5">
      <c r="A78" s="5" t="s">
        <v>1651</v>
      </c>
    </row>
    <row r="79" spans="1:5">
      <c r="A79" s="5" t="s">
        <v>1652</v>
      </c>
    </row>
    <row r="80" spans="1:5">
      <c r="A80" s="5" t="s">
        <v>1653</v>
      </c>
    </row>
    <row r="84" spans="1:5">
      <c r="A84" s="3" t="s">
        <v>1659</v>
      </c>
      <c r="E84" s="3" t="s">
        <v>1672</v>
      </c>
    </row>
    <row r="85" spans="1:5">
      <c r="A85" s="5" t="s">
        <v>1660</v>
      </c>
      <c r="E85" s="5" t="s">
        <v>1673</v>
      </c>
    </row>
    <row r="86" spans="1:5">
      <c r="A86" s="5" t="s">
        <v>1661</v>
      </c>
      <c r="E86" s="5" t="s">
        <v>1674</v>
      </c>
    </row>
    <row r="87" spans="1:5">
      <c r="A87" s="5" t="s">
        <v>1662</v>
      </c>
      <c r="E87" s="5" t="s">
        <v>1675</v>
      </c>
    </row>
    <row r="88" spans="1:5">
      <c r="A88" s="5" t="s">
        <v>1663</v>
      </c>
      <c r="E88" s="5" t="s">
        <v>1676</v>
      </c>
    </row>
    <row r="89" spans="1:5">
      <c r="A89" s="5" t="s">
        <v>1664</v>
      </c>
      <c r="E89" s="5" t="s">
        <v>1677</v>
      </c>
    </row>
    <row r="90" spans="1:5">
      <c r="A90" s="5" t="s">
        <v>1665</v>
      </c>
      <c r="E90" s="5" t="s">
        <v>1678</v>
      </c>
    </row>
    <row r="91" spans="1:5">
      <c r="A91" s="5" t="s">
        <v>1666</v>
      </c>
      <c r="E91" s="5" t="s">
        <v>1679</v>
      </c>
    </row>
    <row r="92" spans="1:5">
      <c r="A92" s="5" t="s">
        <v>1667</v>
      </c>
      <c r="E92" s="5" t="s">
        <v>1680</v>
      </c>
    </row>
    <row r="93" spans="1:5">
      <c r="A93" s="5" t="s">
        <v>1668</v>
      </c>
      <c r="E93" s="5" t="s">
        <v>1681</v>
      </c>
    </row>
    <row r="94" spans="1:5">
      <c r="A94" s="5" t="s">
        <v>1669</v>
      </c>
      <c r="E94" s="5" t="s">
        <v>1682</v>
      </c>
    </row>
    <row r="95" spans="1:5">
      <c r="A95" s="5" t="s">
        <v>1670</v>
      </c>
    </row>
    <row r="96" spans="1:5">
      <c r="A96" s="5" t="s">
        <v>1671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0BBE1-7350-4CCB-8A88-F7817DF5B736}">
  <sheetPr>
    <tabColor rgb="FFFFFF00"/>
  </sheetPr>
  <dimension ref="A1:I94"/>
  <sheetViews>
    <sheetView workbookViewId="0">
      <selection activeCell="D93" sqref="D93"/>
    </sheetView>
  </sheetViews>
  <sheetFormatPr defaultRowHeight="15"/>
  <cols>
    <col min="1" max="16384" width="9.140625" style="28"/>
  </cols>
  <sheetData>
    <row r="1" spans="1:5" ht="18.75">
      <c r="A1" s="27" t="s">
        <v>7433</v>
      </c>
    </row>
    <row r="3" spans="1:5">
      <c r="A3" s="29" t="s">
        <v>7434</v>
      </c>
    </row>
    <row r="4" spans="1:5">
      <c r="A4" s="30" t="s">
        <v>7435</v>
      </c>
    </row>
    <row r="5" spans="1:5">
      <c r="A5" s="30" t="s">
        <v>7436</v>
      </c>
    </row>
    <row r="6" spans="1:5">
      <c r="A6" s="30" t="s">
        <v>7437</v>
      </c>
    </row>
    <row r="7" spans="1:5">
      <c r="A7" s="30" t="s">
        <v>7438</v>
      </c>
    </row>
    <row r="8" spans="1:5">
      <c r="A8" s="30" t="s">
        <v>7439</v>
      </c>
    </row>
    <row r="9" spans="1:5">
      <c r="A9" s="30" t="s">
        <v>7440</v>
      </c>
    </row>
    <row r="10" spans="1:5">
      <c r="A10" s="30" t="s">
        <v>7441</v>
      </c>
    </row>
    <row r="11" spans="1:5">
      <c r="A11" s="30" t="s">
        <v>7442</v>
      </c>
    </row>
    <row r="12" spans="1:5">
      <c r="A12" s="30" t="s">
        <v>7443</v>
      </c>
    </row>
    <row r="13" spans="1:5">
      <c r="A13" s="30" t="s">
        <v>7444</v>
      </c>
    </row>
    <row r="14" spans="1:5">
      <c r="A14" s="30"/>
    </row>
    <row r="15" spans="1:5">
      <c r="A15" s="29" t="s">
        <v>7445</v>
      </c>
      <c r="E15" s="29" t="s">
        <v>7496</v>
      </c>
    </row>
    <row r="16" spans="1:5">
      <c r="A16" s="30" t="s">
        <v>7446</v>
      </c>
      <c r="E16" s="30" t="s">
        <v>7497</v>
      </c>
    </row>
    <row r="17" spans="1:5">
      <c r="A17" s="30" t="s">
        <v>7447</v>
      </c>
      <c r="E17" s="30" t="s">
        <v>7498</v>
      </c>
    </row>
    <row r="18" spans="1:5">
      <c r="A18" s="30" t="s">
        <v>7448</v>
      </c>
      <c r="E18" s="30" t="s">
        <v>7499</v>
      </c>
    </row>
    <row r="19" spans="1:5">
      <c r="A19" s="30" t="s">
        <v>7449</v>
      </c>
      <c r="E19" s="30" t="s">
        <v>7500</v>
      </c>
    </row>
    <row r="20" spans="1:5">
      <c r="A20" s="30" t="s">
        <v>7450</v>
      </c>
      <c r="E20" s="30" t="s">
        <v>7501</v>
      </c>
    </row>
    <row r="21" spans="1:5">
      <c r="A21" s="30" t="s">
        <v>7451</v>
      </c>
      <c r="E21" s="30" t="s">
        <v>7502</v>
      </c>
    </row>
    <row r="22" spans="1:5">
      <c r="A22" s="30" t="s">
        <v>7452</v>
      </c>
      <c r="E22" s="30" t="s">
        <v>7503</v>
      </c>
    </row>
    <row r="23" spans="1:5">
      <c r="A23" s="30" t="s">
        <v>7453</v>
      </c>
      <c r="E23" s="30" t="s">
        <v>7504</v>
      </c>
    </row>
    <row r="24" spans="1:5">
      <c r="A24" s="30" t="s">
        <v>7454</v>
      </c>
      <c r="E24" s="30" t="s">
        <v>7505</v>
      </c>
    </row>
    <row r="25" spans="1:5">
      <c r="A25" s="30" t="s">
        <v>7455</v>
      </c>
      <c r="E25" s="30" t="s">
        <v>7506</v>
      </c>
    </row>
    <row r="26" spans="1:5">
      <c r="A26" s="30" t="s">
        <v>7456</v>
      </c>
    </row>
    <row r="27" spans="1:5">
      <c r="A27" s="30" t="s">
        <v>7457</v>
      </c>
      <c r="E27" s="29" t="s">
        <v>7507</v>
      </c>
    </row>
    <row r="28" spans="1:5">
      <c r="A28" s="30" t="s">
        <v>7458</v>
      </c>
      <c r="E28" s="30" t="s">
        <v>7508</v>
      </c>
    </row>
    <row r="29" spans="1:5">
      <c r="A29" s="30" t="s">
        <v>7459</v>
      </c>
      <c r="E29" s="30" t="s">
        <v>7509</v>
      </c>
    </row>
    <row r="30" spans="1:5">
      <c r="A30" s="30" t="s">
        <v>7460</v>
      </c>
      <c r="E30" s="30" t="s">
        <v>7510</v>
      </c>
    </row>
    <row r="31" spans="1:5">
      <c r="A31" s="30" t="s">
        <v>7461</v>
      </c>
      <c r="E31" s="30" t="s">
        <v>7511</v>
      </c>
    </row>
    <row r="32" spans="1:5">
      <c r="A32" s="30" t="s">
        <v>7462</v>
      </c>
      <c r="E32" s="30" t="s">
        <v>7512</v>
      </c>
    </row>
    <row r="33" spans="1:5">
      <c r="A33" s="30" t="s">
        <v>7463</v>
      </c>
      <c r="E33" s="30" t="s">
        <v>7513</v>
      </c>
    </row>
    <row r="34" spans="1:5">
      <c r="A34" s="30" t="s">
        <v>7464</v>
      </c>
      <c r="E34" s="30" t="s">
        <v>7514</v>
      </c>
    </row>
    <row r="35" spans="1:5">
      <c r="A35" s="30" t="s">
        <v>7465</v>
      </c>
      <c r="E35" s="30" t="s">
        <v>7515</v>
      </c>
    </row>
    <row r="36" spans="1:5">
      <c r="A36" s="30" t="s">
        <v>7466</v>
      </c>
      <c r="E36" s="30" t="s">
        <v>7516</v>
      </c>
    </row>
    <row r="37" spans="1:5">
      <c r="A37" s="30" t="s">
        <v>7467</v>
      </c>
      <c r="E37" s="30" t="s">
        <v>7517</v>
      </c>
    </row>
    <row r="38" spans="1:5">
      <c r="A38" s="30" t="s">
        <v>7468</v>
      </c>
      <c r="E38" s="30" t="s">
        <v>7518</v>
      </c>
    </row>
    <row r="39" spans="1:5">
      <c r="A39" s="30" t="s">
        <v>7469</v>
      </c>
      <c r="E39" s="30" t="s">
        <v>7519</v>
      </c>
    </row>
    <row r="40" spans="1:5">
      <c r="A40" s="30" t="s">
        <v>7470</v>
      </c>
      <c r="E40" s="30" t="s">
        <v>7520</v>
      </c>
    </row>
    <row r="41" spans="1:5">
      <c r="A41" s="30" t="s">
        <v>7471</v>
      </c>
      <c r="E41" s="30" t="s">
        <v>7521</v>
      </c>
    </row>
    <row r="42" spans="1:5">
      <c r="A42" s="30" t="s">
        <v>7472</v>
      </c>
      <c r="E42" s="30" t="s">
        <v>7522</v>
      </c>
    </row>
    <row r="43" spans="1:5">
      <c r="A43" s="30" t="s">
        <v>7473</v>
      </c>
      <c r="E43" s="30" t="s">
        <v>7523</v>
      </c>
    </row>
    <row r="44" spans="1:5">
      <c r="A44" s="30" t="s">
        <v>7474</v>
      </c>
      <c r="E44" s="30" t="s">
        <v>7524</v>
      </c>
    </row>
    <row r="45" spans="1:5">
      <c r="A45" s="30" t="s">
        <v>7475</v>
      </c>
      <c r="E45" s="30" t="s">
        <v>7525</v>
      </c>
    </row>
    <row r="46" spans="1:5">
      <c r="A46" s="30" t="s">
        <v>7476</v>
      </c>
      <c r="E46" s="30" t="s">
        <v>7526</v>
      </c>
    </row>
    <row r="47" spans="1:5">
      <c r="A47" s="30" t="s">
        <v>7477</v>
      </c>
      <c r="E47" s="30" t="s">
        <v>7527</v>
      </c>
    </row>
    <row r="48" spans="1:5">
      <c r="A48" s="30" t="s">
        <v>7478</v>
      </c>
    </row>
    <row r="49" spans="1:5">
      <c r="A49" s="30" t="s">
        <v>7479</v>
      </c>
      <c r="E49" s="29" t="s">
        <v>7528</v>
      </c>
    </row>
    <row r="50" spans="1:5">
      <c r="A50" s="30" t="s">
        <v>7480</v>
      </c>
      <c r="E50" s="30" t="s">
        <v>7529</v>
      </c>
    </row>
    <row r="51" spans="1:5">
      <c r="A51" s="30" t="s">
        <v>7481</v>
      </c>
      <c r="E51" s="30" t="s">
        <v>7530</v>
      </c>
    </row>
    <row r="52" spans="1:5">
      <c r="A52" s="30" t="s">
        <v>7482</v>
      </c>
      <c r="E52" s="30" t="s">
        <v>7531</v>
      </c>
    </row>
    <row r="53" spans="1:5">
      <c r="A53" s="30" t="s">
        <v>7483</v>
      </c>
      <c r="E53" s="30" t="s">
        <v>7532</v>
      </c>
    </row>
    <row r="54" spans="1:5">
      <c r="A54" s="30" t="s">
        <v>7484</v>
      </c>
      <c r="E54" s="30" t="s">
        <v>7533</v>
      </c>
    </row>
    <row r="55" spans="1:5">
      <c r="A55" s="30" t="s">
        <v>7485</v>
      </c>
      <c r="E55" s="30" t="s">
        <v>7534</v>
      </c>
    </row>
    <row r="56" spans="1:5">
      <c r="A56" s="30" t="s">
        <v>7486</v>
      </c>
      <c r="E56" s="30" t="s">
        <v>7535</v>
      </c>
    </row>
    <row r="57" spans="1:5">
      <c r="A57" s="30" t="s">
        <v>7487</v>
      </c>
      <c r="E57" s="30" t="s">
        <v>7536</v>
      </c>
    </row>
    <row r="58" spans="1:5">
      <c r="A58" s="30" t="s">
        <v>7488</v>
      </c>
      <c r="E58" s="30" t="s">
        <v>7537</v>
      </c>
    </row>
    <row r="59" spans="1:5">
      <c r="A59" s="30" t="s">
        <v>7489</v>
      </c>
      <c r="E59" s="30" t="s">
        <v>7538</v>
      </c>
    </row>
    <row r="60" spans="1:5">
      <c r="A60" s="30" t="s">
        <v>7490</v>
      </c>
      <c r="E60" s="30" t="s">
        <v>7539</v>
      </c>
    </row>
    <row r="61" spans="1:5">
      <c r="A61" s="30" t="s">
        <v>7491</v>
      </c>
      <c r="E61" s="30" t="s">
        <v>7540</v>
      </c>
    </row>
    <row r="62" spans="1:5">
      <c r="A62" s="30" t="s">
        <v>7492</v>
      </c>
    </row>
    <row r="63" spans="1:5">
      <c r="A63" s="30" t="s">
        <v>7493</v>
      </c>
    </row>
    <row r="64" spans="1:5">
      <c r="A64" s="30" t="s">
        <v>7494</v>
      </c>
    </row>
    <row r="65" spans="1:9">
      <c r="A65" s="30" t="s">
        <v>7495</v>
      </c>
    </row>
    <row r="68" spans="1:9">
      <c r="A68" s="29" t="s">
        <v>7541</v>
      </c>
      <c r="E68" s="29" t="s">
        <v>7554</v>
      </c>
      <c r="I68" s="29" t="s">
        <v>7560</v>
      </c>
    </row>
    <row r="69" spans="1:9">
      <c r="A69" s="30" t="s">
        <v>7542</v>
      </c>
      <c r="E69" s="30" t="s">
        <v>1098</v>
      </c>
      <c r="I69" s="30" t="s">
        <v>7561</v>
      </c>
    </row>
    <row r="70" spans="1:9">
      <c r="A70" s="30" t="s">
        <v>7543</v>
      </c>
      <c r="E70" s="30" t="s">
        <v>7555</v>
      </c>
      <c r="I70" s="30" t="s">
        <v>7562</v>
      </c>
    </row>
    <row r="71" spans="1:9">
      <c r="A71" s="30" t="s">
        <v>7544</v>
      </c>
      <c r="E71" s="30" t="s">
        <v>7556</v>
      </c>
      <c r="I71" s="30" t="s">
        <v>7563</v>
      </c>
    </row>
    <row r="72" spans="1:9">
      <c r="A72" s="30" t="s">
        <v>7545</v>
      </c>
      <c r="E72" s="30" t="s">
        <v>7557</v>
      </c>
      <c r="I72" s="30" t="s">
        <v>7564</v>
      </c>
    </row>
    <row r="73" spans="1:9">
      <c r="A73" s="30" t="s">
        <v>7546</v>
      </c>
      <c r="E73" s="30" t="s">
        <v>7558</v>
      </c>
      <c r="I73" s="30" t="s">
        <v>7565</v>
      </c>
    </row>
    <row r="74" spans="1:9">
      <c r="A74" s="30" t="s">
        <v>7547</v>
      </c>
      <c r="E74" s="30" t="s">
        <v>7559</v>
      </c>
      <c r="I74" s="30" t="s">
        <v>7566</v>
      </c>
    </row>
    <row r="75" spans="1:9">
      <c r="A75" s="30" t="s">
        <v>7548</v>
      </c>
    </row>
    <row r="76" spans="1:9">
      <c r="A76" s="30" t="s">
        <v>7549</v>
      </c>
    </row>
    <row r="77" spans="1:9">
      <c r="A77" s="30" t="s">
        <v>7550</v>
      </c>
    </row>
    <row r="78" spans="1:9">
      <c r="A78" s="30" t="s">
        <v>7551</v>
      </c>
    </row>
    <row r="79" spans="1:9">
      <c r="A79" s="30" t="s">
        <v>7552</v>
      </c>
    </row>
    <row r="80" spans="1:9">
      <c r="A80" s="30" t="s">
        <v>7553</v>
      </c>
    </row>
    <row r="82" spans="1:1">
      <c r="A82" s="29" t="s">
        <v>7567</v>
      </c>
    </row>
    <row r="83" spans="1:1">
      <c r="A83" s="30" t="s">
        <v>7568</v>
      </c>
    </row>
    <row r="84" spans="1:1">
      <c r="A84" s="30" t="s">
        <v>7569</v>
      </c>
    </row>
    <row r="85" spans="1:1">
      <c r="A85" s="30" t="s">
        <v>7570</v>
      </c>
    </row>
    <row r="86" spans="1:1">
      <c r="A86" s="30" t="s">
        <v>7571</v>
      </c>
    </row>
    <row r="87" spans="1:1">
      <c r="A87" s="30" t="s">
        <v>7572</v>
      </c>
    </row>
    <row r="88" spans="1:1">
      <c r="A88" s="30" t="s">
        <v>7573</v>
      </c>
    </row>
    <row r="89" spans="1:1">
      <c r="A89" s="30" t="s">
        <v>7574</v>
      </c>
    </row>
    <row r="90" spans="1:1">
      <c r="A90" s="30" t="s">
        <v>7575</v>
      </c>
    </row>
    <row r="91" spans="1:1">
      <c r="A91" s="30" t="s">
        <v>7576</v>
      </c>
    </row>
    <row r="92" spans="1:1">
      <c r="A92" s="30" t="s">
        <v>7577</v>
      </c>
    </row>
    <row r="93" spans="1:1">
      <c r="A93" s="30" t="s">
        <v>7578</v>
      </c>
    </row>
    <row r="94" spans="1:1">
      <c r="A94" s="30" t="s">
        <v>7579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E6A29-DF5E-435B-9812-A9B9F6686B0D}">
  <sheetPr>
    <tabColor rgb="FFFFFF00"/>
  </sheetPr>
  <dimension ref="A1:M33"/>
  <sheetViews>
    <sheetView workbookViewId="0">
      <selection activeCell="H34" sqref="H34"/>
    </sheetView>
  </sheetViews>
  <sheetFormatPr defaultRowHeight="15"/>
  <sheetData>
    <row r="1" spans="1:5" ht="18.75">
      <c r="A1" s="27" t="s">
        <v>7580</v>
      </c>
    </row>
    <row r="2" spans="1:5">
      <c r="A2" s="31" t="s">
        <v>2405</v>
      </c>
    </row>
    <row r="3" spans="1:5">
      <c r="A3" s="34" t="s">
        <v>7581</v>
      </c>
      <c r="E3" s="34" t="s">
        <v>7588</v>
      </c>
    </row>
    <row r="4" spans="1:5">
      <c r="A4" s="30" t="s">
        <v>7582</v>
      </c>
      <c r="E4" s="30" t="s">
        <v>7589</v>
      </c>
    </row>
    <row r="5" spans="1:5">
      <c r="A5" s="30" t="s">
        <v>7583</v>
      </c>
      <c r="E5" s="30" t="s">
        <v>7590</v>
      </c>
    </row>
    <row r="6" spans="1:5">
      <c r="A6" s="30" t="s">
        <v>7584</v>
      </c>
      <c r="E6" s="30" t="s">
        <v>7591</v>
      </c>
    </row>
    <row r="7" spans="1:5">
      <c r="A7" s="30" t="s">
        <v>7585</v>
      </c>
      <c r="E7" s="30" t="s">
        <v>7592</v>
      </c>
    </row>
    <row r="8" spans="1:5">
      <c r="A8" s="30" t="s">
        <v>7586</v>
      </c>
      <c r="E8" s="30" t="s">
        <v>7593</v>
      </c>
    </row>
    <row r="9" spans="1:5">
      <c r="A9" s="30" t="s">
        <v>7587</v>
      </c>
      <c r="E9" s="30" t="s">
        <v>7594</v>
      </c>
    </row>
    <row r="11" spans="1:5">
      <c r="A11" s="34" t="s">
        <v>7595</v>
      </c>
      <c r="E11" s="34" t="s">
        <v>7602</v>
      </c>
    </row>
    <row r="12" spans="1:5">
      <c r="A12" s="30" t="s">
        <v>7596</v>
      </c>
      <c r="E12" s="30" t="s">
        <v>7603</v>
      </c>
    </row>
    <row r="13" spans="1:5">
      <c r="A13" s="30" t="s">
        <v>7597</v>
      </c>
      <c r="E13" s="30" t="s">
        <v>7604</v>
      </c>
    </row>
    <row r="14" spans="1:5">
      <c r="A14" s="30" t="s">
        <v>7598</v>
      </c>
      <c r="E14" s="30" t="s">
        <v>7605</v>
      </c>
    </row>
    <row r="15" spans="1:5">
      <c r="A15" s="30" t="s">
        <v>7599</v>
      </c>
      <c r="E15" s="30" t="s">
        <v>7606</v>
      </c>
    </row>
    <row r="16" spans="1:5">
      <c r="A16" s="30" t="s">
        <v>7600</v>
      </c>
      <c r="E16" s="30" t="s">
        <v>7607</v>
      </c>
    </row>
    <row r="17" spans="1:13">
      <c r="A17" s="30" t="s">
        <v>7601</v>
      </c>
      <c r="E17" s="30" t="s">
        <v>7608</v>
      </c>
    </row>
    <row r="18" spans="1:13">
      <c r="A18" s="30"/>
    </row>
    <row r="19" spans="1:13">
      <c r="A19" s="34" t="s">
        <v>7609</v>
      </c>
      <c r="E19" s="34" t="s">
        <v>7616</v>
      </c>
      <c r="I19" s="34" t="s">
        <v>7623</v>
      </c>
      <c r="M19" s="34" t="s">
        <v>7630</v>
      </c>
    </row>
    <row r="20" spans="1:13">
      <c r="A20" s="30" t="s">
        <v>7610</v>
      </c>
      <c r="E20" s="30" t="s">
        <v>7617</v>
      </c>
      <c r="I20" s="30" t="s">
        <v>7624</v>
      </c>
      <c r="M20" s="30" t="s">
        <v>7631</v>
      </c>
    </row>
    <row r="21" spans="1:13">
      <c r="A21" s="30" t="s">
        <v>7611</v>
      </c>
      <c r="E21" s="30" t="s">
        <v>7618</v>
      </c>
      <c r="I21" s="30" t="s">
        <v>7625</v>
      </c>
      <c r="M21" s="30" t="s">
        <v>7632</v>
      </c>
    </row>
    <row r="22" spans="1:13">
      <c r="A22" s="30" t="s">
        <v>7612</v>
      </c>
      <c r="E22" s="30" t="s">
        <v>7619</v>
      </c>
      <c r="I22" s="30" t="s">
        <v>7626</v>
      </c>
      <c r="M22" s="30" t="s">
        <v>7633</v>
      </c>
    </row>
    <row r="23" spans="1:13">
      <c r="A23" s="30" t="s">
        <v>7613</v>
      </c>
      <c r="E23" s="30" t="s">
        <v>7620</v>
      </c>
      <c r="I23" s="30" t="s">
        <v>7627</v>
      </c>
      <c r="M23" s="30" t="s">
        <v>7634</v>
      </c>
    </row>
    <row r="24" spans="1:13">
      <c r="A24" s="30" t="s">
        <v>7614</v>
      </c>
      <c r="E24" s="30" t="s">
        <v>7621</v>
      </c>
      <c r="I24" s="30" t="s">
        <v>7628</v>
      </c>
      <c r="M24" s="30" t="s">
        <v>7635</v>
      </c>
    </row>
    <row r="25" spans="1:13">
      <c r="A25" s="30" t="s">
        <v>7615</v>
      </c>
      <c r="E25" s="30" t="s">
        <v>7622</v>
      </c>
      <c r="I25" s="30" t="s">
        <v>7629</v>
      </c>
      <c r="M25" s="30" t="s">
        <v>7636</v>
      </c>
    </row>
    <row r="27" spans="1:13">
      <c r="A27" s="34" t="s">
        <v>7637</v>
      </c>
      <c r="E27" s="34" t="s">
        <v>7644</v>
      </c>
    </row>
    <row r="28" spans="1:13">
      <c r="A28" s="30" t="s">
        <v>7638</v>
      </c>
      <c r="E28" s="30" t="s">
        <v>7645</v>
      </c>
    </row>
    <row r="29" spans="1:13">
      <c r="A29" s="30" t="s">
        <v>7639</v>
      </c>
      <c r="E29" s="30" t="s">
        <v>7646</v>
      </c>
    </row>
    <row r="30" spans="1:13">
      <c r="A30" s="30" t="s">
        <v>7640</v>
      </c>
      <c r="E30" s="30" t="s">
        <v>7647</v>
      </c>
    </row>
    <row r="31" spans="1:13">
      <c r="A31" s="30" t="s">
        <v>7641</v>
      </c>
      <c r="E31" s="30" t="s">
        <v>7648</v>
      </c>
    </row>
    <row r="32" spans="1:13">
      <c r="A32" s="30" t="s">
        <v>7642</v>
      </c>
      <c r="E32" s="30" t="s">
        <v>7649</v>
      </c>
    </row>
    <row r="33" spans="1:5">
      <c r="A33" s="30" t="s">
        <v>7643</v>
      </c>
      <c r="E33" s="30" t="s">
        <v>7650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13C10-8F73-404F-ADBD-F53E27B76DCE}">
  <sheetPr>
    <tabColor rgb="FFFFFF00"/>
  </sheetPr>
  <dimension ref="A1:M33"/>
  <sheetViews>
    <sheetView topLeftCell="A10" workbookViewId="0">
      <selection activeCell="G38" sqref="G38"/>
    </sheetView>
  </sheetViews>
  <sheetFormatPr defaultRowHeight="15"/>
  <sheetData>
    <row r="1" spans="1:5" ht="18.75">
      <c r="A1" s="27" t="s">
        <v>7651</v>
      </c>
    </row>
    <row r="2" spans="1:5">
      <c r="A2" s="31" t="s">
        <v>2405</v>
      </c>
    </row>
    <row r="3" spans="1:5">
      <c r="A3" s="34" t="s">
        <v>7581</v>
      </c>
      <c r="E3" s="34" t="s">
        <v>7658</v>
      </c>
    </row>
    <row r="4" spans="1:5">
      <c r="A4" s="30" t="s">
        <v>7652</v>
      </c>
      <c r="E4" s="30" t="s">
        <v>7659</v>
      </c>
    </row>
    <row r="5" spans="1:5">
      <c r="A5" s="30" t="s">
        <v>7653</v>
      </c>
      <c r="E5" s="30" t="s">
        <v>7660</v>
      </c>
    </row>
    <row r="6" spans="1:5">
      <c r="A6" s="30" t="s">
        <v>7654</v>
      </c>
      <c r="E6" s="30" t="s">
        <v>7661</v>
      </c>
    </row>
    <row r="7" spans="1:5">
      <c r="A7" s="30" t="s">
        <v>7655</v>
      </c>
      <c r="E7" s="30" t="s">
        <v>7662</v>
      </c>
    </row>
    <row r="8" spans="1:5">
      <c r="A8" s="30" t="s">
        <v>7656</v>
      </c>
      <c r="E8" s="30" t="s">
        <v>7663</v>
      </c>
    </row>
    <row r="9" spans="1:5">
      <c r="A9" s="30" t="s">
        <v>7657</v>
      </c>
      <c r="E9" s="30" t="s">
        <v>7664</v>
      </c>
    </row>
    <row r="11" spans="1:5">
      <c r="A11" s="34" t="s">
        <v>7595</v>
      </c>
      <c r="E11" s="34" t="s">
        <v>7602</v>
      </c>
    </row>
    <row r="12" spans="1:5">
      <c r="A12" s="30" t="s">
        <v>7665</v>
      </c>
      <c r="E12" s="30" t="s">
        <v>7671</v>
      </c>
    </row>
    <row r="13" spans="1:5">
      <c r="A13" s="30" t="s">
        <v>7666</v>
      </c>
      <c r="E13" s="30" t="s">
        <v>7672</v>
      </c>
    </row>
    <row r="14" spans="1:5">
      <c r="A14" s="30" t="s">
        <v>7667</v>
      </c>
      <c r="E14" s="30" t="s">
        <v>7673</v>
      </c>
    </row>
    <row r="15" spans="1:5">
      <c r="A15" s="30" t="s">
        <v>7668</v>
      </c>
      <c r="E15" s="30" t="s">
        <v>7674</v>
      </c>
    </row>
    <row r="16" spans="1:5">
      <c r="A16" s="30" t="s">
        <v>7669</v>
      </c>
      <c r="E16" s="30" t="s">
        <v>7675</v>
      </c>
    </row>
    <row r="17" spans="1:13">
      <c r="A17" s="30" t="s">
        <v>7670</v>
      </c>
      <c r="E17" s="30" t="s">
        <v>7608</v>
      </c>
    </row>
    <row r="19" spans="1:13">
      <c r="A19" s="34" t="s">
        <v>7609</v>
      </c>
      <c r="E19" s="34" t="s">
        <v>7616</v>
      </c>
      <c r="I19" s="34" t="s">
        <v>7623</v>
      </c>
      <c r="M19" s="34" t="s">
        <v>7630</v>
      </c>
    </row>
    <row r="20" spans="1:13">
      <c r="A20" s="30" t="s">
        <v>7676</v>
      </c>
      <c r="E20" s="30" t="s">
        <v>7681</v>
      </c>
      <c r="I20" s="30" t="s">
        <v>7687</v>
      </c>
      <c r="M20" s="30" t="s">
        <v>7693</v>
      </c>
    </row>
    <row r="21" spans="1:13">
      <c r="A21" s="30" t="s">
        <v>7611</v>
      </c>
      <c r="E21" s="30" t="s">
        <v>7682</v>
      </c>
      <c r="I21" s="30" t="s">
        <v>7688</v>
      </c>
      <c r="M21" s="30" t="s">
        <v>7694</v>
      </c>
    </row>
    <row r="22" spans="1:13">
      <c r="A22" s="30" t="s">
        <v>7677</v>
      </c>
      <c r="E22" s="30" t="s">
        <v>7683</v>
      </c>
      <c r="I22" s="30" t="s">
        <v>7689</v>
      </c>
      <c r="M22" s="30" t="s">
        <v>7695</v>
      </c>
    </row>
    <row r="23" spans="1:13">
      <c r="A23" s="30" t="s">
        <v>7678</v>
      </c>
      <c r="E23" s="30" t="s">
        <v>7684</v>
      </c>
      <c r="I23" s="30" t="s">
        <v>7690</v>
      </c>
      <c r="M23" s="30" t="s">
        <v>7696</v>
      </c>
    </row>
    <row r="24" spans="1:13">
      <c r="A24" s="30" t="s">
        <v>7679</v>
      </c>
      <c r="E24" s="30" t="s">
        <v>7685</v>
      </c>
      <c r="I24" s="30" t="s">
        <v>7691</v>
      </c>
      <c r="M24" s="30" t="s">
        <v>7697</v>
      </c>
    </row>
    <row r="25" spans="1:13">
      <c r="A25" s="30" t="s">
        <v>7680</v>
      </c>
      <c r="E25" s="30" t="s">
        <v>7686</v>
      </c>
      <c r="I25" s="30" t="s">
        <v>7692</v>
      </c>
      <c r="M25" s="30" t="s">
        <v>7698</v>
      </c>
    </row>
    <row r="27" spans="1:13">
      <c r="A27" s="34" t="s">
        <v>7637</v>
      </c>
      <c r="E27" s="34" t="s">
        <v>7644</v>
      </c>
    </row>
    <row r="28" spans="1:13">
      <c r="A28" s="30" t="s">
        <v>7699</v>
      </c>
      <c r="E28" s="30" t="s">
        <v>7705</v>
      </c>
    </row>
    <row r="29" spans="1:13">
      <c r="A29" s="30" t="s">
        <v>7700</v>
      </c>
      <c r="E29" s="30" t="s">
        <v>7706</v>
      </c>
    </row>
    <row r="30" spans="1:13">
      <c r="A30" s="30" t="s">
        <v>7701</v>
      </c>
      <c r="E30" s="30" t="s">
        <v>7707</v>
      </c>
    </row>
    <row r="31" spans="1:13">
      <c r="A31" s="30" t="s">
        <v>7702</v>
      </c>
      <c r="E31" s="30" t="s">
        <v>7708</v>
      </c>
    </row>
    <row r="32" spans="1:13">
      <c r="A32" s="30" t="s">
        <v>7703</v>
      </c>
      <c r="E32" s="30" t="s">
        <v>7709</v>
      </c>
    </row>
    <row r="33" spans="1:5">
      <c r="A33" s="30" t="s">
        <v>7704</v>
      </c>
      <c r="E33" s="30" t="s">
        <v>7710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E2D22-015B-4033-8E30-FE039DA38465}">
  <sheetPr>
    <tabColor rgb="FFFFFF00"/>
  </sheetPr>
  <dimension ref="A1:M33"/>
  <sheetViews>
    <sheetView topLeftCell="A10" workbookViewId="0">
      <selection activeCell="E27" sqref="E27:E33"/>
    </sheetView>
  </sheetViews>
  <sheetFormatPr defaultRowHeight="15"/>
  <sheetData>
    <row r="1" spans="1:5" ht="18.75">
      <c r="A1" s="27" t="s">
        <v>7711</v>
      </c>
    </row>
    <row r="2" spans="1:5">
      <c r="A2" s="31" t="s">
        <v>2405</v>
      </c>
    </row>
    <row r="3" spans="1:5">
      <c r="A3" s="34" t="s">
        <v>7581</v>
      </c>
      <c r="E3" s="34" t="s">
        <v>7718</v>
      </c>
    </row>
    <row r="4" spans="1:5">
      <c r="A4" s="30" t="s">
        <v>7712</v>
      </c>
      <c r="E4" s="30" t="s">
        <v>7719</v>
      </c>
    </row>
    <row r="5" spans="1:5">
      <c r="A5" s="30" t="s">
        <v>7713</v>
      </c>
      <c r="E5" s="30" t="s">
        <v>7720</v>
      </c>
    </row>
    <row r="6" spans="1:5">
      <c r="A6" s="30" t="s">
        <v>7714</v>
      </c>
      <c r="E6" s="30" t="s">
        <v>7721</v>
      </c>
    </row>
    <row r="7" spans="1:5">
      <c r="A7" s="30" t="s">
        <v>7715</v>
      </c>
      <c r="E7" s="30" t="s">
        <v>7722</v>
      </c>
    </row>
    <row r="8" spans="1:5">
      <c r="A8" s="30" t="s">
        <v>7716</v>
      </c>
      <c r="E8" s="30" t="s">
        <v>7723</v>
      </c>
    </row>
    <row r="9" spans="1:5">
      <c r="A9" s="30" t="s">
        <v>7717</v>
      </c>
      <c r="E9" s="30" t="s">
        <v>7724</v>
      </c>
    </row>
    <row r="11" spans="1:5">
      <c r="A11" s="34" t="s">
        <v>7595</v>
      </c>
      <c r="E11" s="34" t="s">
        <v>7602</v>
      </c>
    </row>
    <row r="12" spans="1:5">
      <c r="A12" s="30" t="s">
        <v>7725</v>
      </c>
      <c r="E12" s="30" t="s">
        <v>7731</v>
      </c>
    </row>
    <row r="13" spans="1:5">
      <c r="A13" s="30" t="s">
        <v>7726</v>
      </c>
      <c r="E13" s="30" t="s">
        <v>7732</v>
      </c>
    </row>
    <row r="14" spans="1:5">
      <c r="A14" s="30" t="s">
        <v>7727</v>
      </c>
      <c r="E14" s="30" t="s">
        <v>7733</v>
      </c>
    </row>
    <row r="15" spans="1:5">
      <c r="A15" s="30" t="s">
        <v>7728</v>
      </c>
      <c r="E15" s="30" t="s">
        <v>7734</v>
      </c>
    </row>
    <row r="16" spans="1:5">
      <c r="A16" s="30" t="s">
        <v>7729</v>
      </c>
      <c r="E16" s="30" t="s">
        <v>7735</v>
      </c>
    </row>
    <row r="17" spans="1:13">
      <c r="A17" s="30" t="s">
        <v>7730</v>
      </c>
      <c r="E17" s="30" t="s">
        <v>7736</v>
      </c>
    </row>
    <row r="19" spans="1:13">
      <c r="A19" s="34" t="s">
        <v>7609</v>
      </c>
      <c r="E19" s="34" t="s">
        <v>7743</v>
      </c>
      <c r="I19" s="34" t="s">
        <v>7750</v>
      </c>
      <c r="M19" s="34" t="s">
        <v>7630</v>
      </c>
    </row>
    <row r="20" spans="1:13">
      <c r="A20" s="30" t="s">
        <v>7737</v>
      </c>
      <c r="E20" s="30" t="s">
        <v>7744</v>
      </c>
      <c r="I20" s="30" t="s">
        <v>7751</v>
      </c>
      <c r="M20" s="30" t="s">
        <v>7757</v>
      </c>
    </row>
    <row r="21" spans="1:13">
      <c r="A21" s="30" t="s">
        <v>7738</v>
      </c>
      <c r="E21" s="30" t="s">
        <v>7745</v>
      </c>
      <c r="I21" s="30" t="s">
        <v>7752</v>
      </c>
      <c r="M21" s="30" t="s">
        <v>7758</v>
      </c>
    </row>
    <row r="22" spans="1:13">
      <c r="A22" s="30" t="s">
        <v>7739</v>
      </c>
      <c r="E22" s="30" t="s">
        <v>7746</v>
      </c>
      <c r="I22" s="30" t="s">
        <v>7753</v>
      </c>
      <c r="M22" s="30" t="s">
        <v>7759</v>
      </c>
    </row>
    <row r="23" spans="1:13">
      <c r="A23" s="30" t="s">
        <v>7740</v>
      </c>
      <c r="E23" s="30" t="s">
        <v>7747</v>
      </c>
      <c r="I23" s="30" t="s">
        <v>7754</v>
      </c>
      <c r="M23" s="30" t="s">
        <v>7760</v>
      </c>
    </row>
    <row r="24" spans="1:13">
      <c r="A24" s="30" t="s">
        <v>7741</v>
      </c>
      <c r="E24" s="30" t="s">
        <v>7748</v>
      </c>
      <c r="I24" s="30" t="s">
        <v>7755</v>
      </c>
      <c r="M24" s="30" t="s">
        <v>7761</v>
      </c>
    </row>
    <row r="25" spans="1:13">
      <c r="A25" s="30" t="s">
        <v>7742</v>
      </c>
      <c r="E25" s="30" t="s">
        <v>7749</v>
      </c>
      <c r="I25" s="30" t="s">
        <v>7756</v>
      </c>
      <c r="M25" s="30" t="s">
        <v>7762</v>
      </c>
    </row>
    <row r="27" spans="1:13">
      <c r="A27" s="34" t="s">
        <v>7637</v>
      </c>
      <c r="E27" s="34" t="s">
        <v>7644</v>
      </c>
    </row>
    <row r="28" spans="1:13">
      <c r="A28" s="30" t="s">
        <v>7763</v>
      </c>
      <c r="E28" s="30" t="s">
        <v>7769</v>
      </c>
    </row>
    <row r="29" spans="1:13">
      <c r="A29" s="30" t="s">
        <v>7764</v>
      </c>
      <c r="E29" s="30" t="s">
        <v>7770</v>
      </c>
    </row>
    <row r="30" spans="1:13">
      <c r="A30" s="30" t="s">
        <v>7765</v>
      </c>
      <c r="E30" s="30" t="s">
        <v>7771</v>
      </c>
    </row>
    <row r="31" spans="1:13">
      <c r="A31" s="30" t="s">
        <v>7766</v>
      </c>
      <c r="E31" s="30" t="s">
        <v>7772</v>
      </c>
    </row>
    <row r="32" spans="1:13">
      <c r="A32" s="30" t="s">
        <v>7767</v>
      </c>
      <c r="E32" s="30" t="s">
        <v>7773</v>
      </c>
    </row>
    <row r="33" spans="1:5">
      <c r="A33" s="30" t="s">
        <v>7768</v>
      </c>
      <c r="E33" s="30" t="s">
        <v>7774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2E481-9D4F-4E67-8DAB-7CE3F504FE7D}">
  <sheetPr>
    <tabColor rgb="FFFFFF00"/>
  </sheetPr>
  <dimension ref="A1:L33"/>
  <sheetViews>
    <sheetView topLeftCell="A16" workbookViewId="0">
      <selection activeCell="E27" sqref="E27:E33"/>
    </sheetView>
  </sheetViews>
  <sheetFormatPr defaultRowHeight="15"/>
  <sheetData>
    <row r="1" spans="1:5" ht="18.75">
      <c r="A1" s="27" t="s">
        <v>7775</v>
      </c>
    </row>
    <row r="2" spans="1:5">
      <c r="A2" s="31" t="s">
        <v>2405</v>
      </c>
    </row>
    <row r="3" spans="1:5">
      <c r="A3" s="34" t="s">
        <v>7581</v>
      </c>
      <c r="E3" s="34" t="s">
        <v>7782</v>
      </c>
    </row>
    <row r="4" spans="1:5">
      <c r="A4" s="30" t="s">
        <v>7776</v>
      </c>
      <c r="E4" s="30" t="s">
        <v>7783</v>
      </c>
    </row>
    <row r="5" spans="1:5">
      <c r="A5" s="30" t="s">
        <v>7777</v>
      </c>
      <c r="E5" s="30" t="s">
        <v>7784</v>
      </c>
    </row>
    <row r="6" spans="1:5">
      <c r="A6" s="30" t="s">
        <v>7778</v>
      </c>
      <c r="E6" s="30" t="s">
        <v>7785</v>
      </c>
    </row>
    <row r="7" spans="1:5">
      <c r="A7" s="30" t="s">
        <v>7779</v>
      </c>
      <c r="E7" s="30" t="s">
        <v>7786</v>
      </c>
    </row>
    <row r="8" spans="1:5">
      <c r="A8" s="30" t="s">
        <v>7780</v>
      </c>
      <c r="E8" s="30" t="s">
        <v>7787</v>
      </c>
    </row>
    <row r="9" spans="1:5">
      <c r="A9" s="30" t="s">
        <v>7781</v>
      </c>
      <c r="E9" s="30" t="s">
        <v>7788</v>
      </c>
    </row>
    <row r="11" spans="1:5">
      <c r="A11" s="34" t="s">
        <v>7595</v>
      </c>
      <c r="E11" s="34" t="s">
        <v>7795</v>
      </c>
    </row>
    <row r="12" spans="1:5">
      <c r="A12" s="30" t="s">
        <v>7789</v>
      </c>
      <c r="E12" s="30" t="s">
        <v>7796</v>
      </c>
    </row>
    <row r="13" spans="1:5">
      <c r="A13" s="30" t="s">
        <v>7790</v>
      </c>
      <c r="E13" s="30" t="s">
        <v>7797</v>
      </c>
    </row>
    <row r="14" spans="1:5">
      <c r="A14" s="30" t="s">
        <v>7791</v>
      </c>
      <c r="E14" s="30" t="s">
        <v>7798</v>
      </c>
    </row>
    <row r="15" spans="1:5">
      <c r="A15" s="30" t="s">
        <v>7792</v>
      </c>
      <c r="E15" s="30" t="s">
        <v>7799</v>
      </c>
    </row>
    <row r="16" spans="1:5">
      <c r="A16" s="30" t="s">
        <v>7793</v>
      </c>
      <c r="E16" s="30" t="s">
        <v>7800</v>
      </c>
    </row>
    <row r="17" spans="1:12">
      <c r="A17" s="30" t="s">
        <v>7794</v>
      </c>
      <c r="E17" s="30" t="s">
        <v>7801</v>
      </c>
    </row>
    <row r="19" spans="1:12">
      <c r="A19" s="34" t="s">
        <v>7609</v>
      </c>
      <c r="E19" s="34" t="s">
        <v>7616</v>
      </c>
      <c r="H19" s="34" t="s">
        <v>7750</v>
      </c>
      <c r="L19" s="34" t="s">
        <v>7820</v>
      </c>
    </row>
    <row r="20" spans="1:12">
      <c r="A20" s="30" t="s">
        <v>7802</v>
      </c>
      <c r="E20" s="30" t="s">
        <v>7808</v>
      </c>
      <c r="H20" s="30" t="s">
        <v>7814</v>
      </c>
      <c r="L20" s="30" t="s">
        <v>7821</v>
      </c>
    </row>
    <row r="21" spans="1:12">
      <c r="A21" s="30" t="s">
        <v>7803</v>
      </c>
      <c r="E21" s="30" t="s">
        <v>7809</v>
      </c>
      <c r="H21" s="30" t="s">
        <v>7815</v>
      </c>
      <c r="L21" s="30" t="s">
        <v>7822</v>
      </c>
    </row>
    <row r="22" spans="1:12">
      <c r="A22" s="30" t="s">
        <v>7804</v>
      </c>
      <c r="E22" s="30" t="s">
        <v>7810</v>
      </c>
      <c r="H22" s="30" t="s">
        <v>7816</v>
      </c>
      <c r="L22" s="30" t="s">
        <v>7823</v>
      </c>
    </row>
    <row r="23" spans="1:12">
      <c r="A23" s="30" t="s">
        <v>7805</v>
      </c>
      <c r="E23" s="30" t="s">
        <v>7811</v>
      </c>
      <c r="H23" s="30" t="s">
        <v>7817</v>
      </c>
      <c r="L23" s="30" t="s">
        <v>7824</v>
      </c>
    </row>
    <row r="24" spans="1:12">
      <c r="A24" s="30" t="s">
        <v>7806</v>
      </c>
      <c r="E24" s="30" t="s">
        <v>7812</v>
      </c>
      <c r="H24" s="30" t="s">
        <v>7818</v>
      </c>
      <c r="L24" s="30" t="s">
        <v>7825</v>
      </c>
    </row>
    <row r="25" spans="1:12">
      <c r="A25" s="30" t="s">
        <v>7807</v>
      </c>
      <c r="E25" s="30" t="s">
        <v>7813</v>
      </c>
      <c r="H25" s="30" t="s">
        <v>7819</v>
      </c>
      <c r="L25" s="30" t="s">
        <v>7826</v>
      </c>
    </row>
    <row r="27" spans="1:12">
      <c r="A27" s="34" t="s">
        <v>7637</v>
      </c>
      <c r="E27" s="34" t="s">
        <v>7833</v>
      </c>
    </row>
    <row r="28" spans="1:12">
      <c r="A28" s="30" t="s">
        <v>7827</v>
      </c>
      <c r="E28" s="30" t="s">
        <v>7834</v>
      </c>
    </row>
    <row r="29" spans="1:12">
      <c r="A29" s="30" t="s">
        <v>7828</v>
      </c>
      <c r="E29" s="30" t="s">
        <v>7835</v>
      </c>
    </row>
    <row r="30" spans="1:12">
      <c r="A30" s="30" t="s">
        <v>7829</v>
      </c>
      <c r="E30" s="30" t="s">
        <v>7836</v>
      </c>
    </row>
    <row r="31" spans="1:12">
      <c r="A31" s="30" t="s">
        <v>7830</v>
      </c>
      <c r="E31" s="30" t="s">
        <v>7837</v>
      </c>
    </row>
    <row r="32" spans="1:12">
      <c r="A32" s="30" t="s">
        <v>7831</v>
      </c>
      <c r="E32" s="30" t="s">
        <v>7838</v>
      </c>
    </row>
    <row r="33" spans="1:5">
      <c r="A33" s="30" t="s">
        <v>7832</v>
      </c>
      <c r="E33" s="30" t="s">
        <v>7839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256A-6D49-41D0-99CC-71392004F07C}">
  <sheetPr>
    <tabColor rgb="FFFFFF00"/>
  </sheetPr>
  <dimension ref="A1:M33"/>
  <sheetViews>
    <sheetView workbookViewId="0">
      <selection activeCell="V33" sqref="V33"/>
    </sheetView>
  </sheetViews>
  <sheetFormatPr defaultRowHeight="15"/>
  <sheetData>
    <row r="1" spans="1:5" ht="18.75">
      <c r="A1" s="27" t="s">
        <v>7840</v>
      </c>
    </row>
    <row r="2" spans="1:5">
      <c r="A2" s="31" t="s">
        <v>2405</v>
      </c>
    </row>
    <row r="3" spans="1:5">
      <c r="A3" s="34" t="s">
        <v>7841</v>
      </c>
      <c r="E3" s="34" t="s">
        <v>7861</v>
      </c>
    </row>
    <row r="4" spans="1:5">
      <c r="A4" s="30" t="s">
        <v>7842</v>
      </c>
      <c r="E4" s="30" t="s">
        <v>7862</v>
      </c>
    </row>
    <row r="5" spans="1:5">
      <c r="A5" s="30" t="s">
        <v>7843</v>
      </c>
      <c r="E5" s="30" t="s">
        <v>7863</v>
      </c>
    </row>
    <row r="6" spans="1:5">
      <c r="A6" s="30" t="s">
        <v>7844</v>
      </c>
      <c r="E6" s="30" t="s">
        <v>7864</v>
      </c>
    </row>
    <row r="7" spans="1:5">
      <c r="A7" s="30" t="s">
        <v>7845</v>
      </c>
      <c r="E7" s="30" t="s">
        <v>7865</v>
      </c>
    </row>
    <row r="8" spans="1:5">
      <c r="A8" s="30" t="s">
        <v>7846</v>
      </c>
      <c r="E8" s="30" t="s">
        <v>7866</v>
      </c>
    </row>
    <row r="9" spans="1:5">
      <c r="A9" s="30" t="s">
        <v>7847</v>
      </c>
      <c r="E9" s="30" t="s">
        <v>7867</v>
      </c>
    </row>
    <row r="10" spans="1:5">
      <c r="A10" s="30"/>
    </row>
    <row r="11" spans="1:5">
      <c r="A11" s="34" t="s">
        <v>7595</v>
      </c>
      <c r="E11" s="34" t="s">
        <v>7854</v>
      </c>
    </row>
    <row r="12" spans="1:5">
      <c r="A12" s="30" t="s">
        <v>7848</v>
      </c>
      <c r="E12" s="30" t="s">
        <v>7855</v>
      </c>
    </row>
    <row r="13" spans="1:5">
      <c r="A13" s="30" t="s">
        <v>7849</v>
      </c>
      <c r="E13" s="30" t="s">
        <v>7856</v>
      </c>
    </row>
    <row r="14" spans="1:5">
      <c r="A14" s="30" t="s">
        <v>7850</v>
      </c>
      <c r="E14" s="30" t="s">
        <v>7857</v>
      </c>
    </row>
    <row r="15" spans="1:5">
      <c r="A15" s="30" t="s">
        <v>7851</v>
      </c>
      <c r="E15" s="30" t="s">
        <v>7858</v>
      </c>
    </row>
    <row r="16" spans="1:5">
      <c r="A16" s="30" t="s">
        <v>7852</v>
      </c>
      <c r="E16" s="30" t="s">
        <v>7859</v>
      </c>
    </row>
    <row r="17" spans="1:13">
      <c r="A17" s="30" t="s">
        <v>7853</v>
      </c>
      <c r="E17" s="30" t="s">
        <v>7860</v>
      </c>
    </row>
    <row r="19" spans="1:13">
      <c r="A19" s="34" t="s">
        <v>7609</v>
      </c>
      <c r="E19" s="34" t="s">
        <v>7616</v>
      </c>
      <c r="I19" s="34" t="s">
        <v>7623</v>
      </c>
      <c r="M19" s="34" t="s">
        <v>7820</v>
      </c>
    </row>
    <row r="20" spans="1:13">
      <c r="A20" s="30" t="s">
        <v>7868</v>
      </c>
      <c r="E20" s="30" t="s">
        <v>7874</v>
      </c>
      <c r="I20" s="30" t="s">
        <v>7880</v>
      </c>
      <c r="M20" s="30" t="s">
        <v>7886</v>
      </c>
    </row>
    <row r="21" spans="1:13">
      <c r="A21" s="30" t="s">
        <v>7869</v>
      </c>
      <c r="E21" s="30" t="s">
        <v>7875</v>
      </c>
      <c r="I21" s="30" t="s">
        <v>7881</v>
      </c>
      <c r="M21" s="30" t="s">
        <v>7887</v>
      </c>
    </row>
    <row r="22" spans="1:13">
      <c r="A22" s="30" t="s">
        <v>7870</v>
      </c>
      <c r="E22" s="30" t="s">
        <v>7876</v>
      </c>
      <c r="I22" s="30" t="s">
        <v>7882</v>
      </c>
      <c r="M22" s="30" t="s">
        <v>7888</v>
      </c>
    </row>
    <row r="23" spans="1:13">
      <c r="A23" s="30" t="s">
        <v>7871</v>
      </c>
      <c r="E23" s="30" t="s">
        <v>7877</v>
      </c>
      <c r="I23" s="30" t="s">
        <v>7883</v>
      </c>
      <c r="M23" s="30" t="s">
        <v>7889</v>
      </c>
    </row>
    <row r="24" spans="1:13">
      <c r="A24" s="30" t="s">
        <v>7872</v>
      </c>
      <c r="E24" s="30" t="s">
        <v>7878</v>
      </c>
      <c r="I24" s="30" t="s">
        <v>7884</v>
      </c>
      <c r="M24" s="30" t="s">
        <v>7890</v>
      </c>
    </row>
    <row r="25" spans="1:13">
      <c r="A25" s="30" t="s">
        <v>7873</v>
      </c>
      <c r="E25" s="30" t="s">
        <v>7879</v>
      </c>
      <c r="I25" s="30" t="s">
        <v>7885</v>
      </c>
      <c r="M25" s="30" t="s">
        <v>7891</v>
      </c>
    </row>
    <row r="27" spans="1:13">
      <c r="A27" s="34" t="s">
        <v>7637</v>
      </c>
      <c r="E27" s="34" t="s">
        <v>7898</v>
      </c>
    </row>
    <row r="28" spans="1:13">
      <c r="A28" s="30" t="s">
        <v>7892</v>
      </c>
      <c r="E28" s="30" t="s">
        <v>7899</v>
      </c>
    </row>
    <row r="29" spans="1:13">
      <c r="A29" s="30" t="s">
        <v>7893</v>
      </c>
      <c r="E29" s="30" t="s">
        <v>7900</v>
      </c>
    </row>
    <row r="30" spans="1:13">
      <c r="A30" s="30" t="s">
        <v>7894</v>
      </c>
      <c r="E30" s="30" t="s">
        <v>7901</v>
      </c>
    </row>
    <row r="31" spans="1:13">
      <c r="A31" s="30" t="s">
        <v>7895</v>
      </c>
      <c r="E31" s="30" t="s">
        <v>7902</v>
      </c>
    </row>
    <row r="32" spans="1:13">
      <c r="A32" s="30" t="s">
        <v>7896</v>
      </c>
      <c r="E32" s="30" t="s">
        <v>7903</v>
      </c>
    </row>
    <row r="33" spans="1:5">
      <c r="A33" s="30" t="s">
        <v>7897</v>
      </c>
      <c r="E33" s="30" t="s">
        <v>7904</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9299C-C8D6-436A-924B-E176627837CA}">
  <sheetPr>
    <tabColor rgb="FFFFFF00"/>
  </sheetPr>
  <dimension ref="A1:M33"/>
  <sheetViews>
    <sheetView topLeftCell="A10" workbookViewId="0">
      <selection activeCell="E27" sqref="E27:E33"/>
    </sheetView>
  </sheetViews>
  <sheetFormatPr defaultRowHeight="15"/>
  <sheetData>
    <row r="1" spans="1:5" ht="18.75">
      <c r="A1" s="27" t="s">
        <v>7905</v>
      </c>
    </row>
    <row r="2" spans="1:5">
      <c r="A2" s="31" t="s">
        <v>2405</v>
      </c>
    </row>
    <row r="3" spans="1:5">
      <c r="A3" s="34" t="s">
        <v>7906</v>
      </c>
      <c r="E3" s="34" t="s">
        <v>7913</v>
      </c>
    </row>
    <row r="4" spans="1:5">
      <c r="A4" s="30" t="s">
        <v>7907</v>
      </c>
      <c r="E4" s="30" t="s">
        <v>7914</v>
      </c>
    </row>
    <row r="5" spans="1:5">
      <c r="A5" s="30" t="s">
        <v>7908</v>
      </c>
      <c r="E5" s="30" t="s">
        <v>7915</v>
      </c>
    </row>
    <row r="6" spans="1:5">
      <c r="A6" s="30" t="s">
        <v>7909</v>
      </c>
      <c r="E6" s="30" t="s">
        <v>7916</v>
      </c>
    </row>
    <row r="7" spans="1:5">
      <c r="A7" s="30" t="s">
        <v>7910</v>
      </c>
      <c r="E7" s="30" t="s">
        <v>7917</v>
      </c>
    </row>
    <row r="8" spans="1:5">
      <c r="A8" s="30" t="s">
        <v>7911</v>
      </c>
      <c r="E8" s="30" t="s">
        <v>7918</v>
      </c>
    </row>
    <row r="9" spans="1:5">
      <c r="A9" s="30" t="s">
        <v>7912</v>
      </c>
      <c r="E9" s="30" t="s">
        <v>7919</v>
      </c>
    </row>
    <row r="11" spans="1:5">
      <c r="A11" s="34" t="s">
        <v>7595</v>
      </c>
      <c r="E11" s="34" t="s">
        <v>7854</v>
      </c>
    </row>
    <row r="12" spans="1:5">
      <c r="A12" s="30" t="s">
        <v>7920</v>
      </c>
      <c r="E12" s="30" t="s">
        <v>7925</v>
      </c>
    </row>
    <row r="13" spans="1:5">
      <c r="A13" s="30" t="s">
        <v>7921</v>
      </c>
      <c r="E13" s="30" t="s">
        <v>7926</v>
      </c>
    </row>
    <row r="14" spans="1:5">
      <c r="A14" s="30" t="s">
        <v>7922</v>
      </c>
      <c r="E14" s="30" t="s">
        <v>7927</v>
      </c>
    </row>
    <row r="15" spans="1:5">
      <c r="A15" s="30" t="s">
        <v>7851</v>
      </c>
      <c r="E15" s="30" t="s">
        <v>7928</v>
      </c>
    </row>
    <row r="16" spans="1:5">
      <c r="A16" s="30" t="s">
        <v>7923</v>
      </c>
      <c r="E16" s="30" t="s">
        <v>7859</v>
      </c>
    </row>
    <row r="17" spans="1:13">
      <c r="A17" s="30" t="s">
        <v>7924</v>
      </c>
      <c r="E17" s="30" t="s">
        <v>7929</v>
      </c>
    </row>
    <row r="19" spans="1:13">
      <c r="A19" s="34" t="s">
        <v>7609</v>
      </c>
      <c r="E19" s="34" t="s">
        <v>7616</v>
      </c>
      <c r="I19" s="34" t="s">
        <v>7940</v>
      </c>
      <c r="M19" s="34" t="s">
        <v>7820</v>
      </c>
    </row>
    <row r="20" spans="1:13">
      <c r="A20" s="30" t="s">
        <v>7868</v>
      </c>
      <c r="E20" s="30" t="s">
        <v>7935</v>
      </c>
      <c r="I20" s="30" t="s">
        <v>7880</v>
      </c>
      <c r="M20" s="30" t="s">
        <v>7945</v>
      </c>
    </row>
    <row r="21" spans="1:13">
      <c r="A21" s="30" t="s">
        <v>7930</v>
      </c>
      <c r="E21" s="30" t="s">
        <v>7936</v>
      </c>
      <c r="I21" s="30" t="s">
        <v>7941</v>
      </c>
      <c r="M21" s="30" t="s">
        <v>7887</v>
      </c>
    </row>
    <row r="22" spans="1:13">
      <c r="A22" s="30" t="s">
        <v>7931</v>
      </c>
      <c r="E22" s="30" t="s">
        <v>7876</v>
      </c>
      <c r="I22" s="30" t="s">
        <v>7882</v>
      </c>
      <c r="M22" s="30" t="s">
        <v>7888</v>
      </c>
    </row>
    <row r="23" spans="1:13">
      <c r="A23" s="30" t="s">
        <v>7932</v>
      </c>
      <c r="E23" s="30" t="s">
        <v>7937</v>
      </c>
      <c r="I23" s="30" t="s">
        <v>7942</v>
      </c>
      <c r="M23" s="30" t="s">
        <v>7946</v>
      </c>
    </row>
    <row r="24" spans="1:13">
      <c r="A24" s="30" t="s">
        <v>7933</v>
      </c>
      <c r="E24" s="30" t="s">
        <v>7938</v>
      </c>
      <c r="I24" s="30" t="s">
        <v>7943</v>
      </c>
      <c r="M24" s="30" t="s">
        <v>7890</v>
      </c>
    </row>
    <row r="25" spans="1:13">
      <c r="A25" s="30" t="s">
        <v>7934</v>
      </c>
      <c r="E25" s="30" t="s">
        <v>7939</v>
      </c>
      <c r="I25" s="30" t="s">
        <v>7944</v>
      </c>
      <c r="M25" s="30" t="s">
        <v>7947</v>
      </c>
    </row>
    <row r="27" spans="1:13">
      <c r="A27" s="34" t="s">
        <v>7637</v>
      </c>
      <c r="E27" s="34" t="s">
        <v>7898</v>
      </c>
    </row>
    <row r="28" spans="1:13">
      <c r="A28" s="30" t="s">
        <v>7948</v>
      </c>
      <c r="E28" s="30" t="s">
        <v>7954</v>
      </c>
    </row>
    <row r="29" spans="1:13">
      <c r="A29" s="30" t="s">
        <v>7949</v>
      </c>
      <c r="E29" s="30" t="s">
        <v>7955</v>
      </c>
    </row>
    <row r="30" spans="1:13">
      <c r="A30" s="30" t="s">
        <v>7950</v>
      </c>
      <c r="E30" s="30" t="s">
        <v>7956</v>
      </c>
    </row>
    <row r="31" spans="1:13">
      <c r="A31" s="30" t="s">
        <v>7951</v>
      </c>
      <c r="E31" s="30" t="s">
        <v>7957</v>
      </c>
    </row>
    <row r="32" spans="1:13">
      <c r="A32" s="30" t="s">
        <v>7952</v>
      </c>
      <c r="E32" s="30" t="s">
        <v>7958</v>
      </c>
    </row>
    <row r="33" spans="1:5">
      <c r="A33" s="30" t="s">
        <v>7953</v>
      </c>
      <c r="E33" s="30" t="s">
        <v>7959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DE322-85F3-44EE-8285-B2BC59FF2579}">
  <sheetPr>
    <tabColor rgb="FFFFFF00"/>
  </sheetPr>
  <dimension ref="A1:M33"/>
  <sheetViews>
    <sheetView topLeftCell="A10" workbookViewId="0">
      <selection activeCell="U43" sqref="U43"/>
    </sheetView>
  </sheetViews>
  <sheetFormatPr defaultRowHeight="15"/>
  <sheetData>
    <row r="1" spans="1:5" ht="18.75">
      <c r="A1" s="27" t="s">
        <v>7960</v>
      </c>
    </row>
    <row r="2" spans="1:5">
      <c r="A2" s="31" t="s">
        <v>2405</v>
      </c>
    </row>
    <row r="3" spans="1:5">
      <c r="A3" s="34" t="s">
        <v>7581</v>
      </c>
      <c r="E3" s="34" t="s">
        <v>7967</v>
      </c>
    </row>
    <row r="4" spans="1:5">
      <c r="A4" s="30" t="s">
        <v>7961</v>
      </c>
      <c r="E4" s="30" t="s">
        <v>7968</v>
      </c>
    </row>
    <row r="5" spans="1:5">
      <c r="A5" s="30" t="s">
        <v>7962</v>
      </c>
      <c r="E5" s="30" t="s">
        <v>7969</v>
      </c>
    </row>
    <row r="6" spans="1:5">
      <c r="A6" s="30" t="s">
        <v>7963</v>
      </c>
      <c r="E6" s="30" t="s">
        <v>7970</v>
      </c>
    </row>
    <row r="7" spans="1:5">
      <c r="A7" s="30" t="s">
        <v>7964</v>
      </c>
      <c r="E7" s="30" t="s">
        <v>7971</v>
      </c>
    </row>
    <row r="8" spans="1:5">
      <c r="A8" s="30" t="s">
        <v>7965</v>
      </c>
      <c r="E8" s="30" t="s">
        <v>7972</v>
      </c>
    </row>
    <row r="9" spans="1:5">
      <c r="A9" s="30" t="s">
        <v>7966</v>
      </c>
      <c r="E9" s="30" t="s">
        <v>7973</v>
      </c>
    </row>
    <row r="11" spans="1:5">
      <c r="A11" s="34" t="s">
        <v>7595</v>
      </c>
      <c r="E11" s="34" t="s">
        <v>7854</v>
      </c>
    </row>
    <row r="12" spans="1:5">
      <c r="A12" s="30" t="s">
        <v>7974</v>
      </c>
      <c r="E12" s="30" t="s">
        <v>7979</v>
      </c>
    </row>
    <row r="13" spans="1:5">
      <c r="A13" s="30" t="s">
        <v>7975</v>
      </c>
      <c r="E13" s="30" t="s">
        <v>7980</v>
      </c>
    </row>
    <row r="14" spans="1:5">
      <c r="A14" s="30" t="s">
        <v>7976</v>
      </c>
      <c r="E14" s="30" t="s">
        <v>7981</v>
      </c>
    </row>
    <row r="15" spans="1:5">
      <c r="A15" s="30" t="s">
        <v>7792</v>
      </c>
      <c r="E15" s="30" t="s">
        <v>7982</v>
      </c>
    </row>
    <row r="16" spans="1:5">
      <c r="A16" s="30" t="s">
        <v>7977</v>
      </c>
      <c r="E16" s="30" t="s">
        <v>7800</v>
      </c>
    </row>
    <row r="17" spans="1:13">
      <c r="A17" s="30" t="s">
        <v>7978</v>
      </c>
      <c r="E17" s="30" t="s">
        <v>7983</v>
      </c>
    </row>
    <row r="19" spans="1:13">
      <c r="A19" s="34" t="s">
        <v>7609</v>
      </c>
      <c r="E19" s="34" t="s">
        <v>7616</v>
      </c>
      <c r="I19" s="34" t="s">
        <v>7750</v>
      </c>
      <c r="M19" s="34" t="s">
        <v>7630</v>
      </c>
    </row>
    <row r="20" spans="1:13">
      <c r="A20" s="30" t="s">
        <v>7984</v>
      </c>
      <c r="E20" s="30" t="s">
        <v>7990</v>
      </c>
      <c r="I20" s="30" t="s">
        <v>7996</v>
      </c>
      <c r="M20" s="30" t="s">
        <v>8002</v>
      </c>
    </row>
    <row r="21" spans="1:13">
      <c r="A21" s="30" t="s">
        <v>7985</v>
      </c>
      <c r="E21" s="30" t="s">
        <v>7991</v>
      </c>
      <c r="I21" s="30" t="s">
        <v>7997</v>
      </c>
      <c r="M21" s="30" t="s">
        <v>8003</v>
      </c>
    </row>
    <row r="22" spans="1:13">
      <c r="A22" s="30" t="s">
        <v>7986</v>
      </c>
      <c r="E22" s="30" t="s">
        <v>7992</v>
      </c>
      <c r="I22" s="30" t="s">
        <v>7998</v>
      </c>
      <c r="M22" s="30" t="s">
        <v>8004</v>
      </c>
    </row>
    <row r="23" spans="1:13">
      <c r="A23" s="30" t="s">
        <v>7987</v>
      </c>
      <c r="E23" s="30" t="s">
        <v>7993</v>
      </c>
      <c r="I23" s="30" t="s">
        <v>7999</v>
      </c>
      <c r="M23" s="30" t="s">
        <v>8005</v>
      </c>
    </row>
    <row r="24" spans="1:13">
      <c r="A24" s="30" t="s">
        <v>7988</v>
      </c>
      <c r="E24" s="30" t="s">
        <v>7994</v>
      </c>
      <c r="I24" s="30" t="s">
        <v>8000</v>
      </c>
      <c r="M24" s="30" t="s">
        <v>8006</v>
      </c>
    </row>
    <row r="25" spans="1:13">
      <c r="A25" s="30" t="s">
        <v>7989</v>
      </c>
      <c r="E25" s="30" t="s">
        <v>7995</v>
      </c>
      <c r="I25" s="30" t="s">
        <v>8001</v>
      </c>
      <c r="M25" s="30" t="s">
        <v>8007</v>
      </c>
    </row>
    <row r="27" spans="1:13">
      <c r="A27" s="34" t="s">
        <v>7637</v>
      </c>
      <c r="E27" s="34" t="s">
        <v>7898</v>
      </c>
    </row>
    <row r="28" spans="1:13">
      <c r="A28" s="30" t="s">
        <v>8008</v>
      </c>
      <c r="E28" s="30" t="s">
        <v>8014</v>
      </c>
    </row>
    <row r="29" spans="1:13">
      <c r="A29" s="30" t="s">
        <v>8009</v>
      </c>
      <c r="E29" s="30" t="s">
        <v>8015</v>
      </c>
    </row>
    <row r="30" spans="1:13">
      <c r="A30" s="30" t="s">
        <v>8010</v>
      </c>
      <c r="E30" s="30" t="s">
        <v>8016</v>
      </c>
    </row>
    <row r="31" spans="1:13">
      <c r="A31" s="30" t="s">
        <v>8011</v>
      </c>
      <c r="E31" s="30" t="s">
        <v>8017</v>
      </c>
    </row>
    <row r="32" spans="1:13">
      <c r="A32" s="30" t="s">
        <v>8012</v>
      </c>
      <c r="E32" s="30" t="s">
        <v>8018</v>
      </c>
    </row>
    <row r="33" spans="1:5">
      <c r="A33" s="30" t="s">
        <v>8013</v>
      </c>
      <c r="E33" s="30" t="s">
        <v>8019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AD00D-9FBF-4F12-95D3-661A760EA615}">
  <sheetPr>
    <tabColor rgb="FFFFFF00"/>
  </sheetPr>
  <dimension ref="A1:M33"/>
  <sheetViews>
    <sheetView topLeftCell="A13" workbookViewId="0">
      <selection activeCell="S46" sqref="S46"/>
    </sheetView>
  </sheetViews>
  <sheetFormatPr defaultRowHeight="15"/>
  <sheetData>
    <row r="1" spans="1:5" ht="18.75">
      <c r="A1" s="27" t="s">
        <v>8020</v>
      </c>
    </row>
    <row r="2" spans="1:5">
      <c r="A2" s="31" t="s">
        <v>2405</v>
      </c>
    </row>
    <row r="3" spans="1:5">
      <c r="A3" s="34" t="s">
        <v>7906</v>
      </c>
      <c r="E3" s="34" t="s">
        <v>7913</v>
      </c>
    </row>
    <row r="4" spans="1:5">
      <c r="A4" s="30" t="s">
        <v>7961</v>
      </c>
      <c r="E4" s="30" t="s">
        <v>8026</v>
      </c>
    </row>
    <row r="5" spans="1:5">
      <c r="A5" s="30" t="s">
        <v>8021</v>
      </c>
      <c r="E5" s="30" t="s">
        <v>8027</v>
      </c>
    </row>
    <row r="6" spans="1:5">
      <c r="A6" s="30" t="s">
        <v>8022</v>
      </c>
      <c r="E6" s="30" t="s">
        <v>8028</v>
      </c>
    </row>
    <row r="7" spans="1:5">
      <c r="A7" s="30" t="s">
        <v>8023</v>
      </c>
      <c r="E7" s="30" t="s">
        <v>8029</v>
      </c>
    </row>
    <row r="8" spans="1:5">
      <c r="A8" s="30" t="s">
        <v>8024</v>
      </c>
      <c r="E8" s="30" t="s">
        <v>7918</v>
      </c>
    </row>
    <row r="9" spans="1:5">
      <c r="A9" s="30" t="s">
        <v>8025</v>
      </c>
      <c r="E9" s="30" t="s">
        <v>8030</v>
      </c>
    </row>
    <row r="11" spans="1:5">
      <c r="A11" s="34" t="s">
        <v>7595</v>
      </c>
      <c r="E11" s="34" t="s">
        <v>7795</v>
      </c>
    </row>
    <row r="12" spans="1:5">
      <c r="A12" s="30" t="s">
        <v>8031</v>
      </c>
      <c r="E12" s="30" t="s">
        <v>8037</v>
      </c>
    </row>
    <row r="13" spans="1:5">
      <c r="A13" s="30" t="s">
        <v>8032</v>
      </c>
      <c r="E13" s="30" t="s">
        <v>8038</v>
      </c>
    </row>
    <row r="14" spans="1:5">
      <c r="A14" s="30" t="s">
        <v>8033</v>
      </c>
      <c r="E14" s="30" t="s">
        <v>8039</v>
      </c>
    </row>
    <row r="15" spans="1:5">
      <c r="A15" s="30" t="s">
        <v>8034</v>
      </c>
      <c r="E15" s="30" t="s">
        <v>8040</v>
      </c>
    </row>
    <row r="16" spans="1:5">
      <c r="A16" s="30" t="s">
        <v>8035</v>
      </c>
      <c r="E16" s="30" t="s">
        <v>8041</v>
      </c>
    </row>
    <row r="17" spans="1:13">
      <c r="A17" s="30" t="s">
        <v>8036</v>
      </c>
      <c r="E17" s="30" t="s">
        <v>8042</v>
      </c>
    </row>
    <row r="19" spans="1:13">
      <c r="A19" s="34" t="s">
        <v>7609</v>
      </c>
      <c r="E19" s="34" t="s">
        <v>7616</v>
      </c>
      <c r="I19" s="34" t="s">
        <v>7623</v>
      </c>
      <c r="M19" s="34" t="s">
        <v>7630</v>
      </c>
    </row>
    <row r="20" spans="1:13">
      <c r="A20" s="30" t="s">
        <v>8043</v>
      </c>
      <c r="E20" s="30" t="s">
        <v>8049</v>
      </c>
      <c r="I20" s="30" t="s">
        <v>8054</v>
      </c>
      <c r="M20" s="30" t="s">
        <v>8060</v>
      </c>
    </row>
    <row r="21" spans="1:13">
      <c r="A21" s="30" t="s">
        <v>8044</v>
      </c>
      <c r="E21" s="30" t="s">
        <v>8050</v>
      </c>
      <c r="I21" s="30" t="s">
        <v>8055</v>
      </c>
      <c r="M21" s="30" t="s">
        <v>8061</v>
      </c>
    </row>
    <row r="22" spans="1:13">
      <c r="A22" s="30" t="s">
        <v>8045</v>
      </c>
      <c r="E22" s="30" t="s">
        <v>8051</v>
      </c>
      <c r="I22" s="30" t="s">
        <v>8056</v>
      </c>
      <c r="M22" s="30" t="s">
        <v>8062</v>
      </c>
    </row>
    <row r="23" spans="1:13">
      <c r="A23" s="30" t="s">
        <v>8046</v>
      </c>
      <c r="E23" s="30" t="s">
        <v>8052</v>
      </c>
      <c r="I23" s="30" t="s">
        <v>8057</v>
      </c>
      <c r="M23" s="30" t="s">
        <v>8063</v>
      </c>
    </row>
    <row r="24" spans="1:13">
      <c r="A24" s="30" t="s">
        <v>8047</v>
      </c>
      <c r="E24" s="30" t="s">
        <v>8053</v>
      </c>
      <c r="I24" s="30" t="s">
        <v>8058</v>
      </c>
      <c r="M24" s="30" t="s">
        <v>8064</v>
      </c>
    </row>
    <row r="25" spans="1:13">
      <c r="A25" s="30" t="s">
        <v>8048</v>
      </c>
      <c r="E25" s="30" t="s">
        <v>7995</v>
      </c>
      <c r="I25" s="30" t="s">
        <v>8059</v>
      </c>
      <c r="M25" s="30" t="s">
        <v>8065</v>
      </c>
    </row>
    <row r="27" spans="1:13">
      <c r="A27" s="34" t="s">
        <v>7637</v>
      </c>
      <c r="E27" s="34" t="s">
        <v>7644</v>
      </c>
    </row>
    <row r="28" spans="1:13">
      <c r="A28" s="30" t="s">
        <v>8066</v>
      </c>
      <c r="E28" s="30" t="s">
        <v>8072</v>
      </c>
    </row>
    <row r="29" spans="1:13">
      <c r="A29" s="30" t="s">
        <v>8067</v>
      </c>
      <c r="E29" s="30" t="s">
        <v>8073</v>
      </c>
    </row>
    <row r="30" spans="1:13">
      <c r="A30" s="30" t="s">
        <v>8068</v>
      </c>
      <c r="E30" s="30" t="s">
        <v>8074</v>
      </c>
    </row>
    <row r="31" spans="1:13">
      <c r="A31" s="30" t="s">
        <v>8069</v>
      </c>
      <c r="E31" s="30" t="s">
        <v>8075</v>
      </c>
    </row>
    <row r="32" spans="1:13">
      <c r="A32" s="30" t="s">
        <v>8070</v>
      </c>
      <c r="E32" s="30" t="s">
        <v>8076</v>
      </c>
    </row>
    <row r="33" spans="1:5">
      <c r="A33" s="30" t="s">
        <v>8071</v>
      </c>
      <c r="E33" s="30" t="s">
        <v>8077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E78EF-F6EA-432A-9107-2FC48E8CC4E8}">
  <sheetPr>
    <tabColor rgb="FFFFFF00"/>
  </sheetPr>
  <dimension ref="A1:M33"/>
  <sheetViews>
    <sheetView workbookViewId="0">
      <selection activeCell="E27" sqref="E27:E33"/>
    </sheetView>
  </sheetViews>
  <sheetFormatPr defaultRowHeight="15"/>
  <sheetData>
    <row r="1" spans="1:5" ht="18.75">
      <c r="A1" s="27" t="s">
        <v>8471</v>
      </c>
    </row>
    <row r="2" spans="1:5">
      <c r="A2" s="31" t="s">
        <v>2405</v>
      </c>
    </row>
    <row r="3" spans="1:5">
      <c r="A3" s="34" t="s">
        <v>7906</v>
      </c>
      <c r="E3" s="34" t="s">
        <v>7913</v>
      </c>
    </row>
    <row r="4" spans="1:5">
      <c r="A4" s="30" t="s">
        <v>8472</v>
      </c>
      <c r="E4" s="30" t="s">
        <v>8475</v>
      </c>
    </row>
    <row r="5" spans="1:5">
      <c r="A5" s="30" t="s">
        <v>8473</v>
      </c>
      <c r="E5" s="30" t="s">
        <v>8476</v>
      </c>
    </row>
    <row r="6" spans="1:5">
      <c r="A6" s="30" t="s">
        <v>7909</v>
      </c>
      <c r="E6" s="30" t="s">
        <v>8477</v>
      </c>
    </row>
    <row r="7" spans="1:5">
      <c r="A7" s="30" t="s">
        <v>7910</v>
      </c>
      <c r="E7" s="30" t="s">
        <v>8478</v>
      </c>
    </row>
    <row r="8" spans="1:5">
      <c r="A8" s="30" t="s">
        <v>8474</v>
      </c>
      <c r="E8" s="30" t="s">
        <v>8479</v>
      </c>
    </row>
    <row r="9" spans="1:5">
      <c r="A9" s="30" t="s">
        <v>8025</v>
      </c>
      <c r="E9" s="30" t="s">
        <v>8480</v>
      </c>
    </row>
    <row r="11" spans="1:5">
      <c r="A11" s="34" t="s">
        <v>7595</v>
      </c>
      <c r="E11" s="34" t="s">
        <v>7854</v>
      </c>
    </row>
    <row r="12" spans="1:5">
      <c r="A12" s="30" t="s">
        <v>8481</v>
      </c>
      <c r="E12" s="30" t="s">
        <v>8487</v>
      </c>
    </row>
    <row r="13" spans="1:5">
      <c r="A13" s="30" t="s">
        <v>8482</v>
      </c>
      <c r="E13" s="30" t="s">
        <v>8488</v>
      </c>
    </row>
    <row r="14" spans="1:5">
      <c r="A14" s="30" t="s">
        <v>8483</v>
      </c>
      <c r="E14" s="30" t="s">
        <v>8489</v>
      </c>
    </row>
    <row r="15" spans="1:5">
      <c r="A15" s="30" t="s">
        <v>8484</v>
      </c>
      <c r="E15" s="30" t="s">
        <v>8490</v>
      </c>
    </row>
    <row r="16" spans="1:5">
      <c r="A16" s="30" t="s">
        <v>8485</v>
      </c>
      <c r="E16" s="30" t="s">
        <v>8491</v>
      </c>
    </row>
    <row r="17" spans="1:13">
      <c r="A17" s="30" t="s">
        <v>8486</v>
      </c>
      <c r="E17" s="30" t="s">
        <v>8492</v>
      </c>
    </row>
    <row r="19" spans="1:13">
      <c r="A19" s="34" t="s">
        <v>7609</v>
      </c>
      <c r="E19" s="34" t="s">
        <v>7616</v>
      </c>
      <c r="I19" s="34" t="s">
        <v>7623</v>
      </c>
      <c r="M19" s="34" t="s">
        <v>7630</v>
      </c>
    </row>
    <row r="20" spans="1:13">
      <c r="A20" s="30" t="s">
        <v>8493</v>
      </c>
      <c r="E20" s="30" t="s">
        <v>5991</v>
      </c>
      <c r="I20" s="30" t="s">
        <v>8503</v>
      </c>
      <c r="M20" s="30" t="s">
        <v>8509</v>
      </c>
    </row>
    <row r="21" spans="1:13">
      <c r="A21" s="30" t="s">
        <v>8494</v>
      </c>
      <c r="E21" s="30" t="s">
        <v>8499</v>
      </c>
      <c r="I21" s="30" t="s">
        <v>8504</v>
      </c>
      <c r="M21" s="30" t="s">
        <v>8510</v>
      </c>
    </row>
    <row r="22" spans="1:13">
      <c r="A22" s="30" t="s">
        <v>8495</v>
      </c>
      <c r="E22" s="30" t="s">
        <v>8500</v>
      </c>
      <c r="I22" s="30" t="s">
        <v>8505</v>
      </c>
      <c r="M22" s="30" t="s">
        <v>8511</v>
      </c>
    </row>
    <row r="23" spans="1:13">
      <c r="A23" s="30" t="s">
        <v>8496</v>
      </c>
      <c r="E23" s="30" t="s">
        <v>8501</v>
      </c>
      <c r="I23" s="30" t="s">
        <v>8506</v>
      </c>
      <c r="M23" s="30" t="s">
        <v>8512</v>
      </c>
    </row>
    <row r="24" spans="1:13">
      <c r="A24" s="30" t="s">
        <v>8497</v>
      </c>
      <c r="E24" s="30" t="s">
        <v>7938</v>
      </c>
      <c r="I24" s="30" t="s">
        <v>8507</v>
      </c>
      <c r="M24" s="30" t="s">
        <v>8513</v>
      </c>
    </row>
    <row r="25" spans="1:13">
      <c r="A25" s="30" t="s">
        <v>8498</v>
      </c>
      <c r="E25" s="30" t="s">
        <v>8502</v>
      </c>
      <c r="I25" s="30" t="s">
        <v>8508</v>
      </c>
      <c r="M25" s="30" t="s">
        <v>8514</v>
      </c>
    </row>
    <row r="27" spans="1:13">
      <c r="A27" s="34" t="s">
        <v>7637</v>
      </c>
      <c r="E27" s="34" t="s">
        <v>7898</v>
      </c>
    </row>
    <row r="28" spans="1:13">
      <c r="A28" s="30" t="s">
        <v>8515</v>
      </c>
      <c r="E28" s="30" t="s">
        <v>8521</v>
      </c>
    </row>
    <row r="29" spans="1:13">
      <c r="A29" s="30" t="s">
        <v>8516</v>
      </c>
      <c r="E29" s="30" t="s">
        <v>8522</v>
      </c>
    </row>
    <row r="30" spans="1:13">
      <c r="A30" s="30" t="s">
        <v>8517</v>
      </c>
      <c r="E30" s="30" t="s">
        <v>8523</v>
      </c>
    </row>
    <row r="31" spans="1:13">
      <c r="A31" s="30" t="s">
        <v>8518</v>
      </c>
      <c r="E31" s="30" t="s">
        <v>8524</v>
      </c>
    </row>
    <row r="32" spans="1:13">
      <c r="A32" s="30" t="s">
        <v>8519</v>
      </c>
      <c r="E32" s="30" t="s">
        <v>8525</v>
      </c>
    </row>
    <row r="33" spans="1:5">
      <c r="A33" s="30" t="s">
        <v>8520</v>
      </c>
      <c r="E33" s="30" t="s">
        <v>8526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EAA1-EC4A-4BAE-8C53-46BF135A7E4A}">
  <sheetPr>
    <tabColor rgb="FFFFFF00"/>
  </sheetPr>
  <dimension ref="A1:M33"/>
  <sheetViews>
    <sheetView topLeftCell="A15" workbookViewId="0">
      <selection activeCell="E27" sqref="E27:E33"/>
    </sheetView>
  </sheetViews>
  <sheetFormatPr defaultRowHeight="15"/>
  <sheetData>
    <row r="1" spans="1:5" ht="18.75">
      <c r="A1" s="27" t="s">
        <v>8527</v>
      </c>
    </row>
    <row r="2" spans="1:5">
      <c r="A2" s="31" t="s">
        <v>2405</v>
      </c>
    </row>
    <row r="3" spans="1:5">
      <c r="A3" s="34" t="s">
        <v>7581</v>
      </c>
      <c r="E3" s="34" t="s">
        <v>8533</v>
      </c>
    </row>
    <row r="4" spans="1:5">
      <c r="A4" s="30" t="s">
        <v>8528</v>
      </c>
      <c r="E4" s="30" t="s">
        <v>8534</v>
      </c>
    </row>
    <row r="5" spans="1:5">
      <c r="A5" s="30" t="s">
        <v>8529</v>
      </c>
      <c r="E5" s="30" t="s">
        <v>8535</v>
      </c>
    </row>
    <row r="6" spans="1:5">
      <c r="A6" s="30" t="s">
        <v>8530</v>
      </c>
      <c r="E6" s="30" t="s">
        <v>8536</v>
      </c>
    </row>
    <row r="7" spans="1:5">
      <c r="A7" s="30" t="s">
        <v>7715</v>
      </c>
      <c r="E7" s="30" t="s">
        <v>8537</v>
      </c>
    </row>
    <row r="8" spans="1:5">
      <c r="A8" s="30" t="s">
        <v>8531</v>
      </c>
      <c r="E8" s="30" t="s">
        <v>8538</v>
      </c>
    </row>
    <row r="9" spans="1:5">
      <c r="A9" s="30" t="s">
        <v>8532</v>
      </c>
      <c r="E9" s="30" t="s">
        <v>8539</v>
      </c>
    </row>
    <row r="11" spans="1:5">
      <c r="A11" s="34" t="s">
        <v>7595</v>
      </c>
      <c r="E11" s="34" t="s">
        <v>7854</v>
      </c>
    </row>
    <row r="12" spans="1:5">
      <c r="A12" s="30" t="s">
        <v>8540</v>
      </c>
      <c r="E12" s="30" t="s">
        <v>8545</v>
      </c>
    </row>
    <row r="13" spans="1:5">
      <c r="A13" s="30" t="s">
        <v>8541</v>
      </c>
      <c r="E13" s="30" t="s">
        <v>7980</v>
      </c>
    </row>
    <row r="14" spans="1:5">
      <c r="A14" s="30" t="s">
        <v>8542</v>
      </c>
      <c r="E14" s="30" t="s">
        <v>8546</v>
      </c>
    </row>
    <row r="15" spans="1:5">
      <c r="A15" s="30" t="s">
        <v>8543</v>
      </c>
      <c r="E15" s="30" t="s">
        <v>8547</v>
      </c>
    </row>
    <row r="16" spans="1:5">
      <c r="A16" s="30" t="s">
        <v>7729</v>
      </c>
      <c r="E16" s="30" t="s">
        <v>8548</v>
      </c>
    </row>
    <row r="17" spans="1:13">
      <c r="A17" s="30" t="s">
        <v>8544</v>
      </c>
      <c r="E17" s="30" t="s">
        <v>8549</v>
      </c>
    </row>
    <row r="19" spans="1:13">
      <c r="A19" s="34" t="s">
        <v>7609</v>
      </c>
      <c r="E19" s="34" t="s">
        <v>7616</v>
      </c>
      <c r="I19" s="34" t="s">
        <v>7750</v>
      </c>
      <c r="M19" s="34" t="s">
        <v>7820</v>
      </c>
    </row>
    <row r="20" spans="1:13">
      <c r="A20" s="30" t="s">
        <v>8550</v>
      </c>
      <c r="E20" s="30" t="s">
        <v>8049</v>
      </c>
      <c r="I20" s="30" t="s">
        <v>8560</v>
      </c>
      <c r="M20" s="30" t="s">
        <v>8565</v>
      </c>
    </row>
    <row r="21" spans="1:13">
      <c r="A21" s="30" t="s">
        <v>8551</v>
      </c>
      <c r="E21" s="30" t="s">
        <v>8556</v>
      </c>
      <c r="I21" s="30" t="s">
        <v>8561</v>
      </c>
      <c r="M21" s="30" t="s">
        <v>8566</v>
      </c>
    </row>
    <row r="22" spans="1:13">
      <c r="A22" s="30" t="s">
        <v>8552</v>
      </c>
      <c r="E22" s="30" t="s">
        <v>7619</v>
      </c>
      <c r="I22" s="30" t="s">
        <v>8562</v>
      </c>
      <c r="M22" s="30" t="s">
        <v>8567</v>
      </c>
    </row>
    <row r="23" spans="1:13">
      <c r="A23" s="30" t="s">
        <v>8553</v>
      </c>
      <c r="E23" s="30" t="s">
        <v>8557</v>
      </c>
      <c r="I23" s="30" t="s">
        <v>8563</v>
      </c>
      <c r="M23" s="30" t="s">
        <v>8568</v>
      </c>
    </row>
    <row r="24" spans="1:13">
      <c r="A24" s="30" t="s">
        <v>8554</v>
      </c>
      <c r="E24" s="30" t="s">
        <v>8558</v>
      </c>
      <c r="I24" s="30" t="s">
        <v>7755</v>
      </c>
      <c r="M24" s="30" t="s">
        <v>8569</v>
      </c>
    </row>
    <row r="25" spans="1:13">
      <c r="A25" s="30" t="s">
        <v>8555</v>
      </c>
      <c r="E25" s="30" t="s">
        <v>8559</v>
      </c>
      <c r="I25" s="30" t="s">
        <v>8564</v>
      </c>
      <c r="M25" s="30" t="s">
        <v>8570</v>
      </c>
    </row>
    <row r="27" spans="1:13">
      <c r="A27" s="34" t="s">
        <v>7637</v>
      </c>
      <c r="E27" s="34" t="s">
        <v>7898</v>
      </c>
    </row>
    <row r="28" spans="1:13">
      <c r="A28" s="30" t="s">
        <v>8571</v>
      </c>
      <c r="E28" s="30" t="s">
        <v>8576</v>
      </c>
    </row>
    <row r="29" spans="1:13">
      <c r="A29" s="30" t="s">
        <v>7639</v>
      </c>
      <c r="E29" s="30" t="s">
        <v>8577</v>
      </c>
    </row>
    <row r="30" spans="1:13">
      <c r="A30" s="30" t="s">
        <v>8572</v>
      </c>
      <c r="E30" s="30" t="s">
        <v>8578</v>
      </c>
    </row>
    <row r="31" spans="1:13">
      <c r="A31" s="30" t="s">
        <v>8573</v>
      </c>
      <c r="E31" s="30" t="s">
        <v>8579</v>
      </c>
    </row>
    <row r="32" spans="1:13">
      <c r="A32" s="30" t="s">
        <v>8574</v>
      </c>
      <c r="E32" s="30" t="s">
        <v>8580</v>
      </c>
    </row>
    <row r="33" spans="1:5">
      <c r="A33" s="30" t="s">
        <v>8575</v>
      </c>
      <c r="E33" s="30" t="s">
        <v>8581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C1279-912A-4EC4-AB9E-FA3B502E08B7}">
  <sheetPr>
    <tabColor rgb="FFFFFF00"/>
  </sheetPr>
  <dimension ref="A1:I48"/>
  <sheetViews>
    <sheetView topLeftCell="A30" workbookViewId="0">
      <selection activeCell="T58" sqref="T58"/>
    </sheetView>
  </sheetViews>
  <sheetFormatPr defaultRowHeight="15"/>
  <sheetData>
    <row r="1" spans="1:9" ht="18.75">
      <c r="A1" s="27" t="s">
        <v>8078</v>
      </c>
    </row>
    <row r="2" spans="1:9">
      <c r="A2" s="34" t="s">
        <v>8079</v>
      </c>
      <c r="E2" s="34" t="s">
        <v>8090</v>
      </c>
      <c r="I2" s="34" t="s">
        <v>8101</v>
      </c>
    </row>
    <row r="3" spans="1:9">
      <c r="A3" s="30" t="s">
        <v>8080</v>
      </c>
      <c r="E3" s="30" t="s">
        <v>8091</v>
      </c>
      <c r="I3" s="30" t="s">
        <v>8102</v>
      </c>
    </row>
    <row r="4" spans="1:9">
      <c r="A4" s="30" t="s">
        <v>8081</v>
      </c>
      <c r="E4" s="30" t="s">
        <v>8092</v>
      </c>
      <c r="I4" s="30" t="s">
        <v>8103</v>
      </c>
    </row>
    <row r="5" spans="1:9">
      <c r="A5" s="30" t="s">
        <v>8082</v>
      </c>
      <c r="E5" s="30" t="s">
        <v>8093</v>
      </c>
      <c r="I5" s="30" t="s">
        <v>8104</v>
      </c>
    </row>
    <row r="6" spans="1:9">
      <c r="A6" s="30" t="s">
        <v>8083</v>
      </c>
      <c r="E6" s="30" t="s">
        <v>8094</v>
      </c>
      <c r="I6" s="30" t="s">
        <v>8105</v>
      </c>
    </row>
    <row r="7" spans="1:9">
      <c r="A7" s="30" t="s">
        <v>8084</v>
      </c>
      <c r="E7" s="30" t="s">
        <v>8095</v>
      </c>
      <c r="I7" s="30" t="s">
        <v>8106</v>
      </c>
    </row>
    <row r="8" spans="1:9">
      <c r="A8" s="30" t="s">
        <v>8085</v>
      </c>
      <c r="E8" s="30" t="s">
        <v>8096</v>
      </c>
      <c r="I8" s="30" t="s">
        <v>8107</v>
      </c>
    </row>
    <row r="9" spans="1:9">
      <c r="A9" s="30" t="s">
        <v>8086</v>
      </c>
      <c r="E9" s="30" t="s">
        <v>8097</v>
      </c>
      <c r="I9" s="30" t="s">
        <v>8108</v>
      </c>
    </row>
    <row r="10" spans="1:9">
      <c r="A10" s="30" t="s">
        <v>8087</v>
      </c>
      <c r="E10" s="30" t="s">
        <v>8098</v>
      </c>
      <c r="I10" s="30" t="s">
        <v>8109</v>
      </c>
    </row>
    <row r="11" spans="1:9">
      <c r="A11" s="30" t="s">
        <v>8088</v>
      </c>
      <c r="E11" s="30" t="s">
        <v>8099</v>
      </c>
      <c r="I11" s="30" t="s">
        <v>8110</v>
      </c>
    </row>
    <row r="12" spans="1:9">
      <c r="A12" s="30" t="s">
        <v>8089</v>
      </c>
      <c r="E12" s="30" t="s">
        <v>8100</v>
      </c>
      <c r="I12" s="30" t="s">
        <v>8111</v>
      </c>
    </row>
    <row r="14" spans="1:9">
      <c r="A14" s="34" t="s">
        <v>8112</v>
      </c>
      <c r="E14" s="34" t="s">
        <v>8123</v>
      </c>
    </row>
    <row r="15" spans="1:9">
      <c r="A15" s="30" t="s">
        <v>8113</v>
      </c>
      <c r="E15" s="30" t="s">
        <v>8124</v>
      </c>
    </row>
    <row r="16" spans="1:9">
      <c r="A16" s="30" t="s">
        <v>8114</v>
      </c>
      <c r="E16" s="30" t="s">
        <v>8125</v>
      </c>
    </row>
    <row r="17" spans="1:5">
      <c r="A17" s="30" t="s">
        <v>8115</v>
      </c>
      <c r="E17" s="30" t="s">
        <v>8126</v>
      </c>
    </row>
    <row r="18" spans="1:5">
      <c r="A18" s="30" t="s">
        <v>8116</v>
      </c>
      <c r="E18" s="30" t="s">
        <v>8127</v>
      </c>
    </row>
    <row r="19" spans="1:5">
      <c r="A19" s="30" t="s">
        <v>8117</v>
      </c>
      <c r="E19" s="30" t="s">
        <v>8128</v>
      </c>
    </row>
    <row r="20" spans="1:5">
      <c r="A20" s="30" t="s">
        <v>8118</v>
      </c>
      <c r="E20" s="30" t="s">
        <v>8129</v>
      </c>
    </row>
    <row r="21" spans="1:5">
      <c r="A21" s="30" t="s">
        <v>8119</v>
      </c>
      <c r="E21" s="30" t="s">
        <v>8130</v>
      </c>
    </row>
    <row r="22" spans="1:5">
      <c r="A22" s="30" t="s">
        <v>8120</v>
      </c>
      <c r="E22" s="30" t="s">
        <v>8131</v>
      </c>
    </row>
    <row r="23" spans="1:5">
      <c r="A23" s="30" t="s">
        <v>8121</v>
      </c>
      <c r="E23" s="30" t="s">
        <v>8132</v>
      </c>
    </row>
    <row r="24" spans="1:5">
      <c r="A24" s="30" t="s">
        <v>8122</v>
      </c>
      <c r="E24" s="30" t="s">
        <v>8133</v>
      </c>
    </row>
    <row r="26" spans="1:5">
      <c r="A26" s="34" t="s">
        <v>8134</v>
      </c>
      <c r="E26" s="34" t="s">
        <v>8145</v>
      </c>
    </row>
    <row r="27" spans="1:5">
      <c r="A27" s="30" t="s">
        <v>8135</v>
      </c>
      <c r="E27" s="30" t="s">
        <v>8146</v>
      </c>
    </row>
    <row r="28" spans="1:5">
      <c r="A28" s="30" t="s">
        <v>8136</v>
      </c>
      <c r="E28" s="30" t="s">
        <v>8147</v>
      </c>
    </row>
    <row r="29" spans="1:5">
      <c r="A29" s="30" t="s">
        <v>8137</v>
      </c>
      <c r="E29" s="30" t="s">
        <v>8148</v>
      </c>
    </row>
    <row r="30" spans="1:5">
      <c r="A30" s="30" t="s">
        <v>8138</v>
      </c>
      <c r="E30" s="30" t="s">
        <v>8149</v>
      </c>
    </row>
    <row r="31" spans="1:5">
      <c r="A31" s="30" t="s">
        <v>8139</v>
      </c>
      <c r="E31" s="30" t="s">
        <v>8150</v>
      </c>
    </row>
    <row r="32" spans="1:5">
      <c r="A32" s="30" t="s">
        <v>8140</v>
      </c>
      <c r="E32" s="30" t="s">
        <v>8151</v>
      </c>
    </row>
    <row r="33" spans="1:5">
      <c r="A33" s="30" t="s">
        <v>8141</v>
      </c>
      <c r="E33" s="30" t="s">
        <v>8152</v>
      </c>
    </row>
    <row r="34" spans="1:5">
      <c r="A34" s="30" t="s">
        <v>8142</v>
      </c>
      <c r="E34" s="30" t="s">
        <v>8153</v>
      </c>
    </row>
    <row r="35" spans="1:5">
      <c r="A35" s="30" t="s">
        <v>8143</v>
      </c>
      <c r="E35" s="30" t="s">
        <v>8154</v>
      </c>
    </row>
    <row r="36" spans="1:5">
      <c r="A36" s="30" t="s">
        <v>8144</v>
      </c>
      <c r="E36" s="30" t="s">
        <v>8155</v>
      </c>
    </row>
    <row r="38" spans="1:5">
      <c r="A38" s="34" t="s">
        <v>8156</v>
      </c>
    </row>
    <row r="39" spans="1:5">
      <c r="A39" s="30" t="s">
        <v>8157</v>
      </c>
    </row>
    <row r="40" spans="1:5">
      <c r="A40" s="30" t="s">
        <v>8158</v>
      </c>
    </row>
    <row r="41" spans="1:5">
      <c r="A41" s="30" t="s">
        <v>8159</v>
      </c>
    </row>
    <row r="42" spans="1:5">
      <c r="A42" s="30" t="s">
        <v>8160</v>
      </c>
    </row>
    <row r="43" spans="1:5">
      <c r="A43" s="30" t="s">
        <v>8161</v>
      </c>
    </row>
    <row r="44" spans="1:5">
      <c r="A44" s="30" t="s">
        <v>8162</v>
      </c>
    </row>
    <row r="45" spans="1:5">
      <c r="A45" s="30" t="s">
        <v>8163</v>
      </c>
    </row>
    <row r="46" spans="1:5">
      <c r="A46" s="30" t="s">
        <v>8164</v>
      </c>
    </row>
    <row r="47" spans="1:5">
      <c r="A47" s="30" t="s">
        <v>8165</v>
      </c>
    </row>
    <row r="48" spans="1:5">
      <c r="A48" s="30" t="s">
        <v>8166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85D6B-2F3F-427E-9701-CE558431814A}">
  <sheetPr>
    <tabColor rgb="FFFFFF00"/>
  </sheetPr>
  <dimension ref="A1:I106"/>
  <sheetViews>
    <sheetView topLeftCell="A89" workbookViewId="0">
      <selection activeCell="I109" sqref="I109"/>
    </sheetView>
  </sheetViews>
  <sheetFormatPr defaultRowHeight="15"/>
  <sheetData>
    <row r="1" spans="1:1" ht="18.75">
      <c r="A1" s="27" t="s">
        <v>8167</v>
      </c>
    </row>
    <row r="2" spans="1:1">
      <c r="A2" s="34" t="s">
        <v>8168</v>
      </c>
    </row>
    <row r="3" spans="1:1">
      <c r="A3" s="30" t="s">
        <v>8169</v>
      </c>
    </row>
    <row r="4" spans="1:1">
      <c r="A4" s="30" t="s">
        <v>8170</v>
      </c>
    </row>
    <row r="5" spans="1:1">
      <c r="A5" s="30" t="s">
        <v>8171</v>
      </c>
    </row>
    <row r="6" spans="1:1">
      <c r="A6" s="30" t="s">
        <v>8172</v>
      </c>
    </row>
    <row r="7" spans="1:1">
      <c r="A7" s="30" t="s">
        <v>6067</v>
      </c>
    </row>
    <row r="8" spans="1:1">
      <c r="A8" s="30" t="s">
        <v>8173</v>
      </c>
    </row>
    <row r="9" spans="1:1">
      <c r="A9" s="30" t="s">
        <v>8174</v>
      </c>
    </row>
    <row r="10" spans="1:1">
      <c r="A10" s="30" t="s">
        <v>8175</v>
      </c>
    </row>
    <row r="11" spans="1:1">
      <c r="A11" s="30" t="s">
        <v>8176</v>
      </c>
    </row>
    <row r="12" spans="1:1">
      <c r="A12" s="30" t="s">
        <v>8177</v>
      </c>
    </row>
    <row r="13" spans="1:1">
      <c r="A13" s="30" t="s">
        <v>8178</v>
      </c>
    </row>
    <row r="14" spans="1:1">
      <c r="A14" s="30" t="s">
        <v>8179</v>
      </c>
    </row>
    <row r="15" spans="1:1">
      <c r="A15" s="30" t="s">
        <v>8180</v>
      </c>
    </row>
    <row r="16" spans="1:1">
      <c r="A16" s="30" t="s">
        <v>8181</v>
      </c>
    </row>
    <row r="17" spans="1:1">
      <c r="A17" s="30" t="s">
        <v>8182</v>
      </c>
    </row>
    <row r="18" spans="1:1">
      <c r="A18" s="30" t="s">
        <v>8183</v>
      </c>
    </row>
    <row r="19" spans="1:1">
      <c r="A19" s="30" t="s">
        <v>8184</v>
      </c>
    </row>
    <row r="20" spans="1:1">
      <c r="A20" s="30" t="s">
        <v>8185</v>
      </c>
    </row>
    <row r="21" spans="1:1">
      <c r="A21" s="30" t="s">
        <v>8186</v>
      </c>
    </row>
    <row r="22" spans="1:1">
      <c r="A22" s="30" t="s">
        <v>8187</v>
      </c>
    </row>
    <row r="23" spans="1:1">
      <c r="A23" s="30"/>
    </row>
    <row r="24" spans="1:1">
      <c r="A24" s="34" t="s">
        <v>8188</v>
      </c>
    </row>
    <row r="25" spans="1:1">
      <c r="A25" s="30" t="s">
        <v>8189</v>
      </c>
    </row>
    <row r="26" spans="1:1">
      <c r="A26" s="30" t="s">
        <v>8190</v>
      </c>
    </row>
    <row r="27" spans="1:1">
      <c r="A27" s="30" t="s">
        <v>8191</v>
      </c>
    </row>
    <row r="28" spans="1:1">
      <c r="A28" s="30" t="s">
        <v>8192</v>
      </c>
    </row>
    <row r="29" spans="1:1">
      <c r="A29" s="30" t="s">
        <v>8193</v>
      </c>
    </row>
    <row r="30" spans="1:1">
      <c r="A30" s="30" t="s">
        <v>8194</v>
      </c>
    </row>
    <row r="31" spans="1:1">
      <c r="A31" s="30" t="s">
        <v>8195</v>
      </c>
    </row>
    <row r="32" spans="1:1">
      <c r="A32" s="30" t="s">
        <v>8196</v>
      </c>
    </row>
    <row r="33" spans="1:5">
      <c r="A33" s="30" t="s">
        <v>8197</v>
      </c>
    </row>
    <row r="34" spans="1:5">
      <c r="A34" s="30" t="s">
        <v>5887</v>
      </c>
    </row>
    <row r="35" spans="1:5">
      <c r="A35" s="30" t="s">
        <v>5888</v>
      </c>
    </row>
    <row r="36" spans="1:5">
      <c r="A36" s="30" t="s">
        <v>8198</v>
      </c>
    </row>
    <row r="37" spans="1:5">
      <c r="A37" s="30"/>
    </row>
    <row r="38" spans="1:5">
      <c r="A38" s="34" t="s">
        <v>8199</v>
      </c>
      <c r="E38" s="34" t="s">
        <v>8206</v>
      </c>
    </row>
    <row r="39" spans="1:5">
      <c r="A39" s="30" t="s">
        <v>8200</v>
      </c>
      <c r="E39" s="30" t="s">
        <v>8207</v>
      </c>
    </row>
    <row r="40" spans="1:5">
      <c r="A40" s="30" t="s">
        <v>8201</v>
      </c>
      <c r="E40" s="30" t="s">
        <v>8208</v>
      </c>
    </row>
    <row r="41" spans="1:5">
      <c r="A41" s="30" t="s">
        <v>8202</v>
      </c>
      <c r="E41" s="30" t="s">
        <v>8209</v>
      </c>
    </row>
    <row r="42" spans="1:5">
      <c r="A42" s="30" t="s">
        <v>8203</v>
      </c>
      <c r="E42" s="30" t="s">
        <v>8210</v>
      </c>
    </row>
    <row r="43" spans="1:5">
      <c r="A43" s="30" t="s">
        <v>8204</v>
      </c>
      <c r="E43" s="30" t="s">
        <v>8211</v>
      </c>
    </row>
    <row r="44" spans="1:5">
      <c r="A44" s="30" t="s">
        <v>8205</v>
      </c>
      <c r="E44" s="30" t="s">
        <v>8212</v>
      </c>
    </row>
    <row r="45" spans="1:5">
      <c r="E45" s="30" t="s">
        <v>8213</v>
      </c>
    </row>
    <row r="46" spans="1:5">
      <c r="E46" s="30" t="s">
        <v>8214</v>
      </c>
    </row>
    <row r="54" spans="1:9">
      <c r="A54" s="34" t="s">
        <v>8215</v>
      </c>
      <c r="E54" s="34" t="s">
        <v>8221</v>
      </c>
      <c r="I54" s="34" t="s">
        <v>7496</v>
      </c>
    </row>
    <row r="55" spans="1:9">
      <c r="A55" s="30" t="s">
        <v>7561</v>
      </c>
      <c r="E55" s="30" t="s">
        <v>5991</v>
      </c>
      <c r="I55" s="30" t="s">
        <v>7497</v>
      </c>
    </row>
    <row r="56" spans="1:9">
      <c r="A56" s="30" t="s">
        <v>7562</v>
      </c>
      <c r="E56" s="30" t="s">
        <v>5992</v>
      </c>
      <c r="I56" s="30" t="s">
        <v>7498</v>
      </c>
    </row>
    <row r="57" spans="1:9">
      <c r="A57" s="30" t="s">
        <v>8216</v>
      </c>
      <c r="E57" s="30" t="s">
        <v>5993</v>
      </c>
      <c r="I57" s="30" t="s">
        <v>7499</v>
      </c>
    </row>
    <row r="58" spans="1:9">
      <c r="A58" s="30" t="s">
        <v>7564</v>
      </c>
      <c r="E58" s="30" t="s">
        <v>8222</v>
      </c>
      <c r="I58" s="30" t="s">
        <v>7500</v>
      </c>
    </row>
    <row r="59" spans="1:9">
      <c r="A59" s="30" t="s">
        <v>7565</v>
      </c>
      <c r="E59" s="30" t="s">
        <v>8223</v>
      </c>
      <c r="I59" s="30" t="s">
        <v>7501</v>
      </c>
    </row>
    <row r="60" spans="1:9">
      <c r="A60" s="30" t="s">
        <v>7566</v>
      </c>
      <c r="E60" s="30" t="s">
        <v>8224</v>
      </c>
      <c r="I60" s="30" t="s">
        <v>7502</v>
      </c>
    </row>
    <row r="61" spans="1:9">
      <c r="A61" s="30" t="s">
        <v>8217</v>
      </c>
      <c r="E61" s="30" t="s">
        <v>8225</v>
      </c>
      <c r="I61" s="30" t="s">
        <v>7503</v>
      </c>
    </row>
    <row r="62" spans="1:9">
      <c r="A62" s="30" t="s">
        <v>8218</v>
      </c>
      <c r="E62" s="30" t="s">
        <v>8226</v>
      </c>
      <c r="I62" s="30" t="s">
        <v>7504</v>
      </c>
    </row>
    <row r="63" spans="1:9">
      <c r="A63" s="30" t="s">
        <v>8219</v>
      </c>
      <c r="E63" s="30" t="s">
        <v>8227</v>
      </c>
      <c r="I63" s="30" t="s">
        <v>7505</v>
      </c>
    </row>
    <row r="64" spans="1:9">
      <c r="A64" s="30" t="s">
        <v>8220</v>
      </c>
      <c r="E64" s="30" t="s">
        <v>8228</v>
      </c>
      <c r="I64" s="30" t="s">
        <v>8239</v>
      </c>
    </row>
    <row r="65" spans="1:9">
      <c r="E65" s="30" t="s">
        <v>8229</v>
      </c>
    </row>
    <row r="66" spans="1:9">
      <c r="E66" s="30" t="s">
        <v>8230</v>
      </c>
    </row>
    <row r="67" spans="1:9">
      <c r="E67" s="30" t="s">
        <v>8231</v>
      </c>
    </row>
    <row r="68" spans="1:9">
      <c r="E68" s="30" t="s">
        <v>8232</v>
      </c>
    </row>
    <row r="69" spans="1:9">
      <c r="E69" s="30" t="s">
        <v>8233</v>
      </c>
    </row>
    <row r="70" spans="1:9">
      <c r="E70" s="30" t="s">
        <v>8234</v>
      </c>
    </row>
    <row r="71" spans="1:9">
      <c r="E71" s="30" t="s">
        <v>8235</v>
      </c>
    </row>
    <row r="72" spans="1:9">
      <c r="E72" s="30" t="s">
        <v>8236</v>
      </c>
    </row>
    <row r="73" spans="1:9">
      <c r="E73" s="30" t="s">
        <v>8237</v>
      </c>
    </row>
    <row r="74" spans="1:9">
      <c r="E74" s="30" t="s">
        <v>8238</v>
      </c>
    </row>
    <row r="76" spans="1:9">
      <c r="A76" s="34" t="s">
        <v>8240</v>
      </c>
      <c r="E76" s="34" t="s">
        <v>7507</v>
      </c>
      <c r="I76" s="34" t="s">
        <v>7528</v>
      </c>
    </row>
    <row r="77" spans="1:9">
      <c r="A77" s="30" t="s">
        <v>8241</v>
      </c>
      <c r="E77" s="30" t="s">
        <v>7508</v>
      </c>
      <c r="I77" s="30" t="s">
        <v>8266</v>
      </c>
    </row>
    <row r="78" spans="1:9">
      <c r="A78" s="30" t="s">
        <v>8242</v>
      </c>
      <c r="E78" s="30" t="s">
        <v>7509</v>
      </c>
      <c r="I78" s="30" t="s">
        <v>7530</v>
      </c>
    </row>
    <row r="79" spans="1:9">
      <c r="A79" s="30" t="s">
        <v>8243</v>
      </c>
      <c r="E79" s="30" t="s">
        <v>7510</v>
      </c>
      <c r="I79" s="30" t="s">
        <v>8267</v>
      </c>
    </row>
    <row r="80" spans="1:9">
      <c r="A80" s="30" t="s">
        <v>8244</v>
      </c>
      <c r="E80" s="30" t="s">
        <v>8251</v>
      </c>
      <c r="I80" s="30" t="s">
        <v>8268</v>
      </c>
    </row>
    <row r="81" spans="1:9">
      <c r="A81" s="30" t="s">
        <v>8245</v>
      </c>
      <c r="E81" s="30" t="s">
        <v>7512</v>
      </c>
      <c r="I81" s="30" t="s">
        <v>7533</v>
      </c>
    </row>
    <row r="82" spans="1:9">
      <c r="A82" s="30" t="s">
        <v>8246</v>
      </c>
      <c r="E82" s="30" t="s">
        <v>7513</v>
      </c>
      <c r="I82" s="30" t="s">
        <v>7534</v>
      </c>
    </row>
    <row r="83" spans="1:9">
      <c r="A83" s="30" t="s">
        <v>8247</v>
      </c>
      <c r="E83" s="30" t="s">
        <v>8252</v>
      </c>
      <c r="I83" s="30" t="s">
        <v>7535</v>
      </c>
    </row>
    <row r="84" spans="1:9">
      <c r="A84" s="30" t="s">
        <v>8248</v>
      </c>
      <c r="E84" s="30" t="s">
        <v>8253</v>
      </c>
      <c r="I84" s="30" t="s">
        <v>7536</v>
      </c>
    </row>
    <row r="85" spans="1:9">
      <c r="A85" s="30" t="s">
        <v>6843</v>
      </c>
      <c r="E85" s="30" t="s">
        <v>8254</v>
      </c>
      <c r="I85" s="30" t="s">
        <v>8269</v>
      </c>
    </row>
    <row r="86" spans="1:9">
      <c r="A86" s="30" t="s">
        <v>8249</v>
      </c>
      <c r="E86" s="30" t="s">
        <v>8255</v>
      </c>
      <c r="I86" s="30" t="s">
        <v>8270</v>
      </c>
    </row>
    <row r="87" spans="1:9">
      <c r="A87" s="30" t="s">
        <v>6845</v>
      </c>
      <c r="E87" s="30" t="s">
        <v>8256</v>
      </c>
      <c r="I87" s="30" t="s">
        <v>8271</v>
      </c>
    </row>
    <row r="88" spans="1:9">
      <c r="A88" s="30" t="s">
        <v>8250</v>
      </c>
      <c r="E88" s="30" t="s">
        <v>8257</v>
      </c>
      <c r="I88" s="30" t="s">
        <v>8272</v>
      </c>
    </row>
    <row r="89" spans="1:9">
      <c r="E89" s="30" t="s">
        <v>8258</v>
      </c>
    </row>
    <row r="90" spans="1:9">
      <c r="E90" s="30" t="s">
        <v>8259</v>
      </c>
    </row>
    <row r="91" spans="1:9">
      <c r="E91" s="30" t="s">
        <v>8260</v>
      </c>
    </row>
    <row r="92" spans="1:9">
      <c r="E92" s="30" t="s">
        <v>8261</v>
      </c>
    </row>
    <row r="93" spans="1:9">
      <c r="E93" s="30" t="s">
        <v>8262</v>
      </c>
    </row>
    <row r="94" spans="1:9">
      <c r="E94" s="30" t="s">
        <v>8263</v>
      </c>
    </row>
    <row r="95" spans="1:9">
      <c r="E95" s="30" t="s">
        <v>8264</v>
      </c>
    </row>
    <row r="96" spans="1:9">
      <c r="E96" s="30" t="s">
        <v>8265</v>
      </c>
    </row>
    <row r="98" spans="1:9">
      <c r="A98" s="34" t="s">
        <v>8273</v>
      </c>
      <c r="E98" s="34" t="s">
        <v>8278</v>
      </c>
      <c r="I98" s="34" t="s">
        <v>8287</v>
      </c>
    </row>
    <row r="99" spans="1:9">
      <c r="A99" s="30" t="s">
        <v>8274</v>
      </c>
      <c r="E99" s="30" t="s">
        <v>8279</v>
      </c>
      <c r="I99" s="30" t="s">
        <v>8288</v>
      </c>
    </row>
    <row r="100" spans="1:9">
      <c r="A100" s="30" t="s">
        <v>8275</v>
      </c>
      <c r="E100" s="30" t="s">
        <v>8280</v>
      </c>
      <c r="I100" s="30" t="s">
        <v>8289</v>
      </c>
    </row>
    <row r="101" spans="1:9">
      <c r="A101" s="30" t="s">
        <v>8276</v>
      </c>
      <c r="E101" s="30" t="s">
        <v>8281</v>
      </c>
      <c r="I101" s="30" t="s">
        <v>8290</v>
      </c>
    </row>
    <row r="102" spans="1:9">
      <c r="A102" s="30" t="s">
        <v>8277</v>
      </c>
      <c r="E102" s="30" t="s">
        <v>8282</v>
      </c>
      <c r="I102" s="30" t="s">
        <v>8291</v>
      </c>
    </row>
    <row r="103" spans="1:9">
      <c r="E103" s="30" t="s">
        <v>8283</v>
      </c>
      <c r="I103" s="30" t="s">
        <v>8292</v>
      </c>
    </row>
    <row r="104" spans="1:9">
      <c r="E104" s="30" t="s">
        <v>8284</v>
      </c>
      <c r="I104" s="30" t="s">
        <v>8293</v>
      </c>
    </row>
    <row r="105" spans="1:9">
      <c r="E105" s="30" t="s">
        <v>8285</v>
      </c>
    </row>
    <row r="106" spans="1:9">
      <c r="E106" s="30" t="s">
        <v>8286</v>
      </c>
    </row>
  </sheetData>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11A06-47E6-45A3-BA35-EAE15A25E057}">
  <sheetPr>
    <tabColor rgb="FFFFFF00"/>
  </sheetPr>
  <dimension ref="A1:I62"/>
  <sheetViews>
    <sheetView workbookViewId="0">
      <selection activeCell="W79" sqref="W79"/>
    </sheetView>
  </sheetViews>
  <sheetFormatPr defaultRowHeight="15"/>
  <sheetData>
    <row r="1" spans="1:9" ht="18.75">
      <c r="A1" s="27" t="s">
        <v>8294</v>
      </c>
    </row>
    <row r="2" spans="1:9">
      <c r="A2" s="34" t="s">
        <v>8321</v>
      </c>
      <c r="E2" s="34" t="s">
        <v>8295</v>
      </c>
      <c r="I2" s="34" t="s">
        <v>8308</v>
      </c>
    </row>
    <row r="3" spans="1:9">
      <c r="A3" s="30" t="s">
        <v>8322</v>
      </c>
      <c r="E3" s="30" t="s">
        <v>8296</v>
      </c>
      <c r="I3" s="30" t="s">
        <v>8309</v>
      </c>
    </row>
    <row r="4" spans="1:9">
      <c r="A4" s="30" t="s">
        <v>8323</v>
      </c>
      <c r="E4" s="30" t="s">
        <v>8297</v>
      </c>
      <c r="I4" s="30" t="s">
        <v>8310</v>
      </c>
    </row>
    <row r="5" spans="1:9">
      <c r="A5" s="30" t="s">
        <v>8324</v>
      </c>
      <c r="E5" s="30" t="s">
        <v>8298</v>
      </c>
      <c r="I5" s="30" t="s">
        <v>8311</v>
      </c>
    </row>
    <row r="6" spans="1:9">
      <c r="A6" s="30" t="s">
        <v>8325</v>
      </c>
      <c r="E6" s="30" t="s">
        <v>8299</v>
      </c>
      <c r="I6" s="30" t="s">
        <v>8312</v>
      </c>
    </row>
    <row r="7" spans="1:9">
      <c r="A7" s="30" t="s">
        <v>8326</v>
      </c>
      <c r="E7" s="30" t="s">
        <v>8300</v>
      </c>
      <c r="I7" s="30" t="s">
        <v>8313</v>
      </c>
    </row>
    <row r="8" spans="1:9">
      <c r="A8" s="30" t="s">
        <v>8327</v>
      </c>
      <c r="E8" s="30" t="s">
        <v>8301</v>
      </c>
      <c r="I8" s="30" t="s">
        <v>8314</v>
      </c>
    </row>
    <row r="9" spans="1:9">
      <c r="A9" s="30" t="s">
        <v>8328</v>
      </c>
      <c r="E9" s="30" t="s">
        <v>8302</v>
      </c>
      <c r="I9" s="30" t="s">
        <v>8315</v>
      </c>
    </row>
    <row r="10" spans="1:9">
      <c r="A10" s="30" t="s">
        <v>8329</v>
      </c>
      <c r="E10" s="30" t="s">
        <v>8303</v>
      </c>
      <c r="I10" s="30" t="s">
        <v>8316</v>
      </c>
    </row>
    <row r="11" spans="1:9">
      <c r="E11" s="30" t="s">
        <v>8304</v>
      </c>
      <c r="I11" s="30" t="s">
        <v>8317</v>
      </c>
    </row>
    <row r="12" spans="1:9">
      <c r="E12" s="30" t="s">
        <v>8305</v>
      </c>
      <c r="I12" s="30" t="s">
        <v>8318</v>
      </c>
    </row>
    <row r="13" spans="1:9">
      <c r="E13" s="30" t="s">
        <v>8306</v>
      </c>
      <c r="I13" s="30" t="s">
        <v>8319</v>
      </c>
    </row>
    <row r="14" spans="1:9">
      <c r="E14" s="30" t="s">
        <v>8307</v>
      </c>
      <c r="I14" s="30" t="s">
        <v>8320</v>
      </c>
    </row>
    <row r="16" spans="1:9">
      <c r="A16" s="34" t="s">
        <v>8330</v>
      </c>
      <c r="E16" s="34" t="s">
        <v>8341</v>
      </c>
      <c r="I16" s="34" t="s">
        <v>8354</v>
      </c>
    </row>
    <row r="17" spans="1:9">
      <c r="A17" s="30" t="s">
        <v>8331</v>
      </c>
      <c r="E17" s="30" t="s">
        <v>8342</v>
      </c>
      <c r="I17" s="30" t="s">
        <v>1098</v>
      </c>
    </row>
    <row r="18" spans="1:9">
      <c r="A18" s="30" t="s">
        <v>8332</v>
      </c>
      <c r="E18" s="30" t="s">
        <v>8343</v>
      </c>
      <c r="I18" s="30" t="s">
        <v>1099</v>
      </c>
    </row>
    <row r="19" spans="1:9">
      <c r="A19" s="30" t="s">
        <v>8333</v>
      </c>
      <c r="E19" s="30" t="s">
        <v>8344</v>
      </c>
      <c r="I19" s="30" t="s">
        <v>1100</v>
      </c>
    </row>
    <row r="20" spans="1:9">
      <c r="A20" s="30" t="s">
        <v>8334</v>
      </c>
      <c r="E20" s="30" t="s">
        <v>8345</v>
      </c>
      <c r="I20" s="30" t="s">
        <v>8355</v>
      </c>
    </row>
    <row r="21" spans="1:9">
      <c r="A21" s="30" t="s">
        <v>8335</v>
      </c>
      <c r="E21" s="30" t="s">
        <v>8346</v>
      </c>
    </row>
    <row r="22" spans="1:9">
      <c r="A22" s="30" t="s">
        <v>8336</v>
      </c>
      <c r="E22" s="30" t="s">
        <v>8347</v>
      </c>
      <c r="I22" s="34" t="s">
        <v>8356</v>
      </c>
    </row>
    <row r="23" spans="1:9">
      <c r="A23" s="30" t="s">
        <v>8337</v>
      </c>
      <c r="E23" s="30" t="s">
        <v>8348</v>
      </c>
      <c r="I23" s="30" t="s">
        <v>8357</v>
      </c>
    </row>
    <row r="24" spans="1:9">
      <c r="A24" s="30" t="s">
        <v>8338</v>
      </c>
      <c r="E24" s="30" t="s">
        <v>8349</v>
      </c>
      <c r="I24" s="30" t="s">
        <v>8358</v>
      </c>
    </row>
    <row r="25" spans="1:9">
      <c r="A25" s="30" t="s">
        <v>8339</v>
      </c>
      <c r="E25" s="30" t="s">
        <v>8350</v>
      </c>
      <c r="I25" s="30" t="s">
        <v>8359</v>
      </c>
    </row>
    <row r="26" spans="1:9">
      <c r="A26" s="30" t="s">
        <v>8340</v>
      </c>
      <c r="E26" s="30" t="s">
        <v>8351</v>
      </c>
      <c r="I26" s="30" t="s">
        <v>8360</v>
      </c>
    </row>
    <row r="27" spans="1:9">
      <c r="E27" s="30" t="s">
        <v>8352</v>
      </c>
      <c r="I27" s="30" t="s">
        <v>8361</v>
      </c>
    </row>
    <row r="28" spans="1:9">
      <c r="E28" s="30" t="s">
        <v>8353</v>
      </c>
      <c r="I28" s="30" t="s">
        <v>8362</v>
      </c>
    </row>
    <row r="30" spans="1:9">
      <c r="A30" s="34" t="s">
        <v>8363</v>
      </c>
      <c r="E30" s="34" t="s">
        <v>517</v>
      </c>
      <c r="I30" s="34" t="s">
        <v>8366</v>
      </c>
    </row>
    <row r="31" spans="1:9">
      <c r="A31" s="30" t="s">
        <v>1089</v>
      </c>
      <c r="E31" s="30" t="s">
        <v>1125</v>
      </c>
      <c r="I31" s="30" t="s">
        <v>8367</v>
      </c>
    </row>
    <row r="32" spans="1:9">
      <c r="A32" s="30" t="s">
        <v>1090</v>
      </c>
      <c r="E32" s="30" t="s">
        <v>1126</v>
      </c>
      <c r="I32" s="30" t="s">
        <v>8368</v>
      </c>
    </row>
    <row r="33" spans="1:9">
      <c r="A33" s="30" t="s">
        <v>1091</v>
      </c>
      <c r="E33" s="30" t="s">
        <v>1127</v>
      </c>
      <c r="I33" s="30" t="s">
        <v>8369</v>
      </c>
    </row>
    <row r="34" spans="1:9">
      <c r="A34" s="30" t="s">
        <v>1092</v>
      </c>
      <c r="E34" s="30" t="s">
        <v>1128</v>
      </c>
      <c r="I34" s="30" t="s">
        <v>8370</v>
      </c>
    </row>
    <row r="35" spans="1:9">
      <c r="A35" s="30" t="s">
        <v>1093</v>
      </c>
      <c r="E35" s="30" t="s">
        <v>1129</v>
      </c>
      <c r="I35" s="30" t="s">
        <v>8371</v>
      </c>
    </row>
    <row r="36" spans="1:9">
      <c r="A36" s="30" t="s">
        <v>1094</v>
      </c>
      <c r="E36" s="30" t="s">
        <v>1130</v>
      </c>
      <c r="I36" s="30" t="s">
        <v>8372</v>
      </c>
    </row>
    <row r="37" spans="1:9">
      <c r="A37" s="30" t="s">
        <v>1095</v>
      </c>
      <c r="E37" s="30" t="s">
        <v>1131</v>
      </c>
      <c r="I37" s="30" t="s">
        <v>8373</v>
      </c>
    </row>
    <row r="38" spans="1:9">
      <c r="A38" s="30" t="s">
        <v>1096</v>
      </c>
      <c r="E38" s="30" t="s">
        <v>1132</v>
      </c>
      <c r="I38" s="30" t="s">
        <v>8374</v>
      </c>
    </row>
    <row r="39" spans="1:9">
      <c r="E39" s="30" t="s">
        <v>1133</v>
      </c>
      <c r="I39" s="30" t="s">
        <v>8375</v>
      </c>
    </row>
    <row r="40" spans="1:9">
      <c r="E40" s="30" t="s">
        <v>1134</v>
      </c>
      <c r="I40" s="30" t="s">
        <v>8376</v>
      </c>
    </row>
    <row r="41" spans="1:9">
      <c r="E41" s="30" t="s">
        <v>1135</v>
      </c>
      <c r="I41" s="30" t="s">
        <v>8377</v>
      </c>
    </row>
    <row r="42" spans="1:9">
      <c r="E42" s="30" t="s">
        <v>1136</v>
      </c>
      <c r="I42" s="30" t="s">
        <v>8378</v>
      </c>
    </row>
    <row r="43" spans="1:9">
      <c r="E43" s="30" t="s">
        <v>1137</v>
      </c>
    </row>
    <row r="44" spans="1:9">
      <c r="E44" s="30" t="s">
        <v>1138</v>
      </c>
    </row>
    <row r="45" spans="1:9">
      <c r="E45" s="30" t="s">
        <v>1139</v>
      </c>
    </row>
    <row r="46" spans="1:9">
      <c r="E46" s="30" t="s">
        <v>8364</v>
      </c>
    </row>
    <row r="47" spans="1:9">
      <c r="E47" s="30" t="s">
        <v>1141</v>
      </c>
    </row>
    <row r="48" spans="1:9">
      <c r="E48" s="30" t="s">
        <v>1142</v>
      </c>
    </row>
    <row r="49" spans="1:5">
      <c r="E49" s="30" t="s">
        <v>8365</v>
      </c>
    </row>
    <row r="50" spans="1:5">
      <c r="E50" s="30" t="s">
        <v>1144</v>
      </c>
    </row>
    <row r="52" spans="1:5">
      <c r="A52" s="34" t="s">
        <v>8379</v>
      </c>
      <c r="E52" s="34" t="s">
        <v>8390</v>
      </c>
    </row>
    <row r="53" spans="1:5">
      <c r="A53" s="30" t="s">
        <v>8380</v>
      </c>
      <c r="E53" s="30" t="s">
        <v>8391</v>
      </c>
    </row>
    <row r="54" spans="1:5">
      <c r="A54" s="30" t="s">
        <v>8381</v>
      </c>
      <c r="E54" s="30" t="s">
        <v>8392</v>
      </c>
    </row>
    <row r="55" spans="1:5">
      <c r="A55" s="30" t="s">
        <v>8382</v>
      </c>
      <c r="E55" s="30" t="s">
        <v>8393</v>
      </c>
    </row>
    <row r="56" spans="1:5">
      <c r="A56" s="30" t="s">
        <v>8383</v>
      </c>
      <c r="E56" s="30" t="s">
        <v>8394</v>
      </c>
    </row>
    <row r="57" spans="1:5">
      <c r="A57" s="30" t="s">
        <v>8384</v>
      </c>
    </row>
    <row r="58" spans="1:5">
      <c r="A58" s="30" t="s">
        <v>8385</v>
      </c>
    </row>
    <row r="59" spans="1:5">
      <c r="A59" s="30" t="s">
        <v>8386</v>
      </c>
    </row>
    <row r="60" spans="1:5">
      <c r="A60" s="30" t="s">
        <v>8387</v>
      </c>
    </row>
    <row r="61" spans="1:5">
      <c r="A61" s="30" t="s">
        <v>8388</v>
      </c>
    </row>
    <row r="62" spans="1:5">
      <c r="A62" s="30" t="s">
        <v>8389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BE143-6B16-4E3F-9912-8C95578B9687}">
  <sheetPr>
    <tabColor rgb="FFFFFF00"/>
  </sheetPr>
  <dimension ref="A1:I64"/>
  <sheetViews>
    <sheetView topLeftCell="A45" workbookViewId="0">
      <selection activeCell="C70" sqref="C70"/>
    </sheetView>
  </sheetViews>
  <sheetFormatPr defaultRowHeight="15"/>
  <sheetData>
    <row r="1" spans="1:9" ht="18.75">
      <c r="A1" s="27" t="s">
        <v>1022</v>
      </c>
    </row>
    <row r="2" spans="1:9">
      <c r="A2" s="34" t="s">
        <v>1023</v>
      </c>
      <c r="E2" s="34" t="s">
        <v>1030</v>
      </c>
      <c r="I2" s="34" t="s">
        <v>1043</v>
      </c>
    </row>
    <row r="3" spans="1:9">
      <c r="A3" s="30" t="s">
        <v>1024</v>
      </c>
      <c r="E3" s="30" t="s">
        <v>1031</v>
      </c>
      <c r="I3" s="30" t="s">
        <v>1044</v>
      </c>
    </row>
    <row r="4" spans="1:9">
      <c r="A4" s="30" t="s">
        <v>1025</v>
      </c>
      <c r="E4" s="30" t="s">
        <v>1032</v>
      </c>
      <c r="I4" s="30" t="s">
        <v>1045</v>
      </c>
    </row>
    <row r="5" spans="1:9">
      <c r="A5" s="30" t="s">
        <v>1026</v>
      </c>
      <c r="E5" s="30" t="s">
        <v>1033</v>
      </c>
      <c r="I5" s="30" t="s">
        <v>1046</v>
      </c>
    </row>
    <row r="6" spans="1:9">
      <c r="A6" s="30" t="s">
        <v>1027</v>
      </c>
      <c r="E6" s="30" t="s">
        <v>1034</v>
      </c>
      <c r="I6" s="30" t="s">
        <v>1047</v>
      </c>
    </row>
    <row r="7" spans="1:9">
      <c r="A7" s="30" t="s">
        <v>1028</v>
      </c>
      <c r="E7" s="30" t="s">
        <v>1035</v>
      </c>
      <c r="I7" s="30" t="s">
        <v>1048</v>
      </c>
    </row>
    <row r="8" spans="1:9">
      <c r="A8" s="30" t="s">
        <v>1029</v>
      </c>
      <c r="E8" s="30" t="s">
        <v>1036</v>
      </c>
      <c r="I8" s="30" t="s">
        <v>1049</v>
      </c>
    </row>
    <row r="9" spans="1:9">
      <c r="E9" s="30" t="s">
        <v>1037</v>
      </c>
      <c r="I9" s="30" t="s">
        <v>1050</v>
      </c>
    </row>
    <row r="10" spans="1:9">
      <c r="E10" s="30" t="s">
        <v>1038</v>
      </c>
      <c r="I10" s="30" t="s">
        <v>1051</v>
      </c>
    </row>
    <row r="11" spans="1:9">
      <c r="E11" s="30" t="s">
        <v>1039</v>
      </c>
      <c r="I11" s="30" t="s">
        <v>1052</v>
      </c>
    </row>
    <row r="12" spans="1:9">
      <c r="E12" s="30" t="s">
        <v>1040</v>
      </c>
      <c r="I12" s="30" t="s">
        <v>1053</v>
      </c>
    </row>
    <row r="13" spans="1:9">
      <c r="E13" s="30" t="s">
        <v>1041</v>
      </c>
      <c r="I13" s="30" t="s">
        <v>1054</v>
      </c>
    </row>
    <row r="14" spans="1:9">
      <c r="E14" s="30" t="s">
        <v>1042</v>
      </c>
      <c r="I14" s="30" t="s">
        <v>1055</v>
      </c>
    </row>
    <row r="16" spans="1:9">
      <c r="A16" s="34" t="s">
        <v>1056</v>
      </c>
      <c r="E16" s="34" t="s">
        <v>1063</v>
      </c>
      <c r="I16" s="34" t="s">
        <v>1072</v>
      </c>
    </row>
    <row r="17" spans="1:9">
      <c r="A17" s="30" t="s">
        <v>1057</v>
      </c>
      <c r="E17" s="30" t="s">
        <v>1064</v>
      </c>
      <c r="I17" s="30" t="s">
        <v>1073</v>
      </c>
    </row>
    <row r="18" spans="1:9">
      <c r="A18" s="30" t="s">
        <v>1058</v>
      </c>
      <c r="E18" s="30" t="s">
        <v>1065</v>
      </c>
      <c r="I18" s="30" t="s">
        <v>1074</v>
      </c>
    </row>
    <row r="19" spans="1:9">
      <c r="A19" s="30" t="s">
        <v>1059</v>
      </c>
      <c r="E19" s="30" t="s">
        <v>1066</v>
      </c>
      <c r="I19" s="30" t="s">
        <v>1075</v>
      </c>
    </row>
    <row r="20" spans="1:9">
      <c r="A20" s="30" t="s">
        <v>1060</v>
      </c>
      <c r="E20" s="30" t="s">
        <v>1067</v>
      </c>
      <c r="I20" s="30" t="s">
        <v>1076</v>
      </c>
    </row>
    <row r="21" spans="1:9">
      <c r="A21" s="30" t="s">
        <v>1061</v>
      </c>
      <c r="E21" s="30" t="s">
        <v>1068</v>
      </c>
      <c r="I21" s="30" t="s">
        <v>1077</v>
      </c>
    </row>
    <row r="22" spans="1:9">
      <c r="A22" s="30" t="s">
        <v>1062</v>
      </c>
      <c r="E22" s="30" t="s">
        <v>1069</v>
      </c>
      <c r="I22" s="30" t="s">
        <v>1078</v>
      </c>
    </row>
    <row r="23" spans="1:9">
      <c r="E23" s="30" t="s">
        <v>1070</v>
      </c>
      <c r="I23" s="30" t="s">
        <v>1079</v>
      </c>
    </row>
    <row r="24" spans="1:9">
      <c r="E24" s="30" t="s">
        <v>1071</v>
      </c>
      <c r="I24" s="30" t="s">
        <v>1080</v>
      </c>
    </row>
    <row r="26" spans="1:9">
      <c r="A26" s="34" t="s">
        <v>1081</v>
      </c>
      <c r="E26" s="34" t="s">
        <v>1088</v>
      </c>
      <c r="I26" s="34" t="s">
        <v>1097</v>
      </c>
    </row>
    <row r="27" spans="1:9">
      <c r="A27" s="30" t="s">
        <v>1082</v>
      </c>
      <c r="E27" s="30" t="s">
        <v>1089</v>
      </c>
      <c r="I27" s="30" t="s">
        <v>1098</v>
      </c>
    </row>
    <row r="28" spans="1:9">
      <c r="A28" s="30" t="s">
        <v>1083</v>
      </c>
      <c r="E28" s="30" t="s">
        <v>1090</v>
      </c>
      <c r="I28" s="30" t="s">
        <v>1099</v>
      </c>
    </row>
    <row r="29" spans="1:9">
      <c r="A29" s="30" t="s">
        <v>1084</v>
      </c>
      <c r="E29" s="30" t="s">
        <v>1091</v>
      </c>
      <c r="I29" s="30" t="s">
        <v>1100</v>
      </c>
    </row>
    <row r="30" spans="1:9">
      <c r="A30" s="30" t="s">
        <v>1085</v>
      </c>
      <c r="E30" s="30" t="s">
        <v>1092</v>
      </c>
      <c r="I30" s="30" t="s">
        <v>1101</v>
      </c>
    </row>
    <row r="31" spans="1:9">
      <c r="A31" s="30" t="s">
        <v>1086</v>
      </c>
      <c r="E31" s="30" t="s">
        <v>1093</v>
      </c>
      <c r="I31" s="30" t="s">
        <v>1102</v>
      </c>
    </row>
    <row r="32" spans="1:9">
      <c r="A32" s="30" t="s">
        <v>1087</v>
      </c>
      <c r="E32" s="30" t="s">
        <v>1094</v>
      </c>
      <c r="I32" s="30" t="s">
        <v>1103</v>
      </c>
    </row>
    <row r="33" spans="1:5">
      <c r="E33" s="30" t="s">
        <v>1095</v>
      </c>
    </row>
    <row r="34" spans="1:5">
      <c r="E34" s="30" t="s">
        <v>1096</v>
      </c>
    </row>
    <row r="36" spans="1:5">
      <c r="A36" s="34" t="s">
        <v>1104</v>
      </c>
      <c r="E36" s="34" t="s">
        <v>517</v>
      </c>
    </row>
    <row r="37" spans="1:5">
      <c r="A37" s="30" t="s">
        <v>1105</v>
      </c>
      <c r="E37" s="30" t="s">
        <v>1125</v>
      </c>
    </row>
    <row r="38" spans="1:5">
      <c r="A38" s="30" t="s">
        <v>1106</v>
      </c>
      <c r="E38" s="30" t="s">
        <v>1126</v>
      </c>
    </row>
    <row r="39" spans="1:5">
      <c r="A39" s="30" t="s">
        <v>1107</v>
      </c>
      <c r="E39" s="30" t="s">
        <v>1127</v>
      </c>
    </row>
    <row r="40" spans="1:5">
      <c r="A40" s="30" t="s">
        <v>1108</v>
      </c>
      <c r="E40" s="30" t="s">
        <v>1128</v>
      </c>
    </row>
    <row r="41" spans="1:5">
      <c r="A41" s="30" t="s">
        <v>1109</v>
      </c>
      <c r="E41" s="30" t="s">
        <v>1129</v>
      </c>
    </row>
    <row r="42" spans="1:5">
      <c r="A42" s="30" t="s">
        <v>1110</v>
      </c>
      <c r="E42" s="30" t="s">
        <v>1130</v>
      </c>
    </row>
    <row r="43" spans="1:5">
      <c r="A43" s="30" t="s">
        <v>1111</v>
      </c>
      <c r="E43" s="30" t="s">
        <v>1131</v>
      </c>
    </row>
    <row r="44" spans="1:5">
      <c r="A44" s="30" t="s">
        <v>1112</v>
      </c>
      <c r="E44" s="30" t="s">
        <v>1132</v>
      </c>
    </row>
    <row r="45" spans="1:5">
      <c r="A45" s="30" t="s">
        <v>1113</v>
      </c>
      <c r="E45" s="30" t="s">
        <v>1133</v>
      </c>
    </row>
    <row r="46" spans="1:5">
      <c r="A46" s="30" t="s">
        <v>1114</v>
      </c>
      <c r="E46" s="30" t="s">
        <v>1134</v>
      </c>
    </row>
    <row r="47" spans="1:5">
      <c r="A47" s="30" t="s">
        <v>1115</v>
      </c>
      <c r="E47" s="30" t="s">
        <v>1135</v>
      </c>
    </row>
    <row r="48" spans="1:5">
      <c r="A48" s="30" t="s">
        <v>1116</v>
      </c>
      <c r="E48" s="30" t="s">
        <v>1136</v>
      </c>
    </row>
    <row r="49" spans="1:5">
      <c r="A49" s="30" t="s">
        <v>1117</v>
      </c>
      <c r="E49" s="30" t="s">
        <v>1137</v>
      </c>
    </row>
    <row r="50" spans="1:5">
      <c r="A50" s="30" t="s">
        <v>1118</v>
      </c>
      <c r="E50" s="30" t="s">
        <v>1138</v>
      </c>
    </row>
    <row r="51" spans="1:5">
      <c r="A51" s="30" t="s">
        <v>1119</v>
      </c>
      <c r="E51" s="30" t="s">
        <v>1139</v>
      </c>
    </row>
    <row r="52" spans="1:5">
      <c r="A52" s="30" t="s">
        <v>1120</v>
      </c>
      <c r="E52" s="30" t="s">
        <v>1140</v>
      </c>
    </row>
    <row r="53" spans="1:5">
      <c r="A53" s="30" t="s">
        <v>1121</v>
      </c>
      <c r="E53" s="30" t="s">
        <v>1141</v>
      </c>
    </row>
    <row r="54" spans="1:5">
      <c r="A54" s="30" t="s">
        <v>1122</v>
      </c>
      <c r="E54" s="30" t="s">
        <v>1142</v>
      </c>
    </row>
    <row r="55" spans="1:5">
      <c r="A55" s="30" t="s">
        <v>1123</v>
      </c>
      <c r="E55" s="30" t="s">
        <v>1143</v>
      </c>
    </row>
    <row r="56" spans="1:5">
      <c r="A56" s="30" t="s">
        <v>1124</v>
      </c>
      <c r="E56" s="30" t="s">
        <v>1144</v>
      </c>
    </row>
    <row r="58" spans="1:5">
      <c r="A58" s="34" t="s">
        <v>1145</v>
      </c>
    </row>
    <row r="59" spans="1:5">
      <c r="A59" s="30" t="s">
        <v>1146</v>
      </c>
    </row>
    <row r="60" spans="1:5">
      <c r="A60" s="30" t="s">
        <v>1147</v>
      </c>
    </row>
    <row r="61" spans="1:5">
      <c r="A61" s="30" t="s">
        <v>1148</v>
      </c>
    </row>
    <row r="62" spans="1:5">
      <c r="A62" s="30" t="s">
        <v>1149</v>
      </c>
    </row>
    <row r="63" spans="1:5">
      <c r="A63" s="30" t="s">
        <v>1150</v>
      </c>
    </row>
    <row r="64" spans="1:5">
      <c r="A64" s="30" t="s">
        <v>1151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0FD59-E5E2-4379-B2DA-710D8928E044}">
  <sheetPr codeName="Лист30">
    <tabColor rgb="FFFFFF00"/>
  </sheetPr>
  <dimension ref="A1:I106"/>
  <sheetViews>
    <sheetView workbookViewId="0">
      <selection activeCell="E67" sqref="E67"/>
    </sheetView>
  </sheetViews>
  <sheetFormatPr defaultRowHeight="15"/>
  <cols>
    <col min="1" max="1" width="9.140625" customWidth="1"/>
  </cols>
  <sheetData>
    <row r="1" spans="1:9">
      <c r="A1" t="s">
        <v>433</v>
      </c>
    </row>
    <row r="3" spans="1:9">
      <c r="A3" t="s">
        <v>434</v>
      </c>
      <c r="E3" t="s">
        <v>441</v>
      </c>
      <c r="I3" t="s">
        <v>446</v>
      </c>
    </row>
    <row r="4" spans="1:9">
      <c r="A4" t="s">
        <v>435</v>
      </c>
      <c r="E4" t="s">
        <v>442</v>
      </c>
      <c r="I4" t="s">
        <v>447</v>
      </c>
    </row>
    <row r="5" spans="1:9">
      <c r="A5" t="s">
        <v>436</v>
      </c>
      <c r="E5" t="s">
        <v>443</v>
      </c>
      <c r="I5" t="s">
        <v>448</v>
      </c>
    </row>
    <row r="6" spans="1:9">
      <c r="A6" t="s">
        <v>437</v>
      </c>
      <c r="E6" t="s">
        <v>444</v>
      </c>
      <c r="I6" t="s">
        <v>449</v>
      </c>
    </row>
    <row r="7" spans="1:9">
      <c r="A7" t="s">
        <v>438</v>
      </c>
      <c r="E7" t="s">
        <v>445</v>
      </c>
      <c r="I7" t="s">
        <v>450</v>
      </c>
    </row>
    <row r="8" spans="1:9">
      <c r="A8" t="s">
        <v>439</v>
      </c>
      <c r="I8" t="s">
        <v>451</v>
      </c>
    </row>
    <row r="9" spans="1:9">
      <c r="A9" t="s">
        <v>440</v>
      </c>
      <c r="I9" t="s">
        <v>452</v>
      </c>
    </row>
    <row r="10" spans="1:9">
      <c r="I10" t="s">
        <v>453</v>
      </c>
    </row>
    <row r="11" spans="1:9">
      <c r="I11" t="s">
        <v>454</v>
      </c>
    </row>
    <row r="12" spans="1:9">
      <c r="I12" t="s">
        <v>455</v>
      </c>
    </row>
    <row r="13" spans="1:9">
      <c r="I13" t="s">
        <v>456</v>
      </c>
    </row>
    <row r="14" spans="1:9">
      <c r="I14" t="s">
        <v>457</v>
      </c>
    </row>
    <row r="16" spans="1:9">
      <c r="A16" t="s">
        <v>458</v>
      </c>
      <c r="E16" t="s">
        <v>473</v>
      </c>
      <c r="I16" t="s">
        <v>479</v>
      </c>
    </row>
    <row r="17" spans="1:9">
      <c r="A17" t="s">
        <v>459</v>
      </c>
      <c r="E17" t="s">
        <v>474</v>
      </c>
      <c r="I17" t="s">
        <v>480</v>
      </c>
    </row>
    <row r="18" spans="1:9">
      <c r="A18" t="s">
        <v>460</v>
      </c>
      <c r="E18" t="s">
        <v>475</v>
      </c>
      <c r="I18" t="s">
        <v>481</v>
      </c>
    </row>
    <row r="19" spans="1:9">
      <c r="A19" t="s">
        <v>461</v>
      </c>
      <c r="E19" t="s">
        <v>476</v>
      </c>
      <c r="I19" t="s">
        <v>482</v>
      </c>
    </row>
    <row r="20" spans="1:9">
      <c r="A20" t="s">
        <v>462</v>
      </c>
      <c r="E20" t="s">
        <v>477</v>
      </c>
      <c r="I20" t="s">
        <v>483</v>
      </c>
    </row>
    <row r="21" spans="1:9">
      <c r="A21" t="s">
        <v>463</v>
      </c>
      <c r="E21" t="s">
        <v>478</v>
      </c>
      <c r="I21" t="s">
        <v>484</v>
      </c>
    </row>
    <row r="22" spans="1:9">
      <c r="A22" t="s">
        <v>464</v>
      </c>
      <c r="I22" t="s">
        <v>485</v>
      </c>
    </row>
    <row r="23" spans="1:9">
      <c r="A23" t="s">
        <v>463</v>
      </c>
      <c r="I23" t="s">
        <v>486</v>
      </c>
    </row>
    <row r="24" spans="1:9">
      <c r="A24" t="s">
        <v>465</v>
      </c>
      <c r="I24" t="s">
        <v>487</v>
      </c>
    </row>
    <row r="25" spans="1:9">
      <c r="A25" t="s">
        <v>466</v>
      </c>
    </row>
    <row r="26" spans="1:9">
      <c r="A26" t="s">
        <v>467</v>
      </c>
    </row>
    <row r="27" spans="1:9">
      <c r="A27" t="s">
        <v>463</v>
      </c>
    </row>
    <row r="28" spans="1:9">
      <c r="A28" t="s">
        <v>468</v>
      </c>
    </row>
    <row r="29" spans="1:9">
      <c r="A29" t="s">
        <v>466</v>
      </c>
    </row>
    <row r="30" spans="1:9">
      <c r="A30" t="s">
        <v>469</v>
      </c>
    </row>
    <row r="31" spans="1:9">
      <c r="A31" t="s">
        <v>470</v>
      </c>
    </row>
    <row r="32" spans="1:9">
      <c r="A32" t="s">
        <v>471</v>
      </c>
    </row>
    <row r="33" spans="1:9">
      <c r="A33" t="s">
        <v>472</v>
      </c>
    </row>
    <row r="34" spans="1:9">
      <c r="A34" t="s">
        <v>463</v>
      </c>
    </row>
    <row r="36" spans="1:9">
      <c r="A36" t="s">
        <v>488</v>
      </c>
      <c r="E36" t="s">
        <v>499</v>
      </c>
      <c r="I36" t="s">
        <v>507</v>
      </c>
    </row>
    <row r="37" spans="1:9">
      <c r="A37" t="s">
        <v>489</v>
      </c>
      <c r="E37" t="s">
        <v>500</v>
      </c>
      <c r="I37" t="s">
        <v>508</v>
      </c>
    </row>
    <row r="38" spans="1:9">
      <c r="A38" t="s">
        <v>490</v>
      </c>
      <c r="E38" t="s">
        <v>501</v>
      </c>
      <c r="I38" t="s">
        <v>509</v>
      </c>
    </row>
    <row r="39" spans="1:9">
      <c r="A39" t="s">
        <v>491</v>
      </c>
      <c r="E39" t="s">
        <v>502</v>
      </c>
      <c r="I39" t="s">
        <v>510</v>
      </c>
    </row>
    <row r="40" spans="1:9">
      <c r="A40" t="s">
        <v>492</v>
      </c>
      <c r="E40" t="s">
        <v>179</v>
      </c>
      <c r="I40" t="s">
        <v>511</v>
      </c>
    </row>
    <row r="41" spans="1:9">
      <c r="A41" t="s">
        <v>493</v>
      </c>
      <c r="E41" t="s">
        <v>503</v>
      </c>
      <c r="I41" t="s">
        <v>194</v>
      </c>
    </row>
    <row r="42" spans="1:9">
      <c r="A42" t="s">
        <v>494</v>
      </c>
      <c r="E42" t="s">
        <v>181</v>
      </c>
      <c r="I42" t="s">
        <v>512</v>
      </c>
    </row>
    <row r="43" spans="1:9">
      <c r="A43" t="s">
        <v>495</v>
      </c>
      <c r="E43" t="s">
        <v>504</v>
      </c>
      <c r="I43" t="s">
        <v>513</v>
      </c>
    </row>
    <row r="44" spans="1:9">
      <c r="A44" t="s">
        <v>496</v>
      </c>
      <c r="E44" t="s">
        <v>505</v>
      </c>
      <c r="I44" t="s">
        <v>514</v>
      </c>
    </row>
    <row r="45" spans="1:9">
      <c r="A45" t="s">
        <v>497</v>
      </c>
      <c r="E45" t="s">
        <v>506</v>
      </c>
      <c r="I45" t="s">
        <v>515</v>
      </c>
    </row>
    <row r="46" spans="1:9">
      <c r="A46" t="s">
        <v>498</v>
      </c>
      <c r="I46" t="s">
        <v>516</v>
      </c>
    </row>
    <row r="48" spans="1:9">
      <c r="A48" t="s">
        <v>517</v>
      </c>
      <c r="E48" t="s">
        <v>538</v>
      </c>
      <c r="I48" t="s">
        <v>557</v>
      </c>
    </row>
    <row r="49" spans="1:9">
      <c r="A49" t="s">
        <v>518</v>
      </c>
      <c r="E49" t="s">
        <v>539</v>
      </c>
      <c r="I49" t="s">
        <v>558</v>
      </c>
    </row>
    <row r="50" spans="1:9">
      <c r="A50" t="s">
        <v>519</v>
      </c>
      <c r="E50" t="s">
        <v>540</v>
      </c>
      <c r="I50" t="s">
        <v>559</v>
      </c>
    </row>
    <row r="51" spans="1:9">
      <c r="A51" t="s">
        <v>520</v>
      </c>
      <c r="E51" t="s">
        <v>541</v>
      </c>
      <c r="I51" t="s">
        <v>560</v>
      </c>
    </row>
    <row r="52" spans="1:9">
      <c r="A52" t="s">
        <v>521</v>
      </c>
      <c r="E52" t="s">
        <v>542</v>
      </c>
      <c r="I52" t="s">
        <v>561</v>
      </c>
    </row>
    <row r="53" spans="1:9">
      <c r="A53" t="s">
        <v>522</v>
      </c>
      <c r="E53" t="s">
        <v>543</v>
      </c>
      <c r="I53" t="s">
        <v>562</v>
      </c>
    </row>
    <row r="54" spans="1:9">
      <c r="A54" t="s">
        <v>523</v>
      </c>
      <c r="E54" t="s">
        <v>544</v>
      </c>
      <c r="I54" t="s">
        <v>563</v>
      </c>
    </row>
    <row r="55" spans="1:9">
      <c r="A55" t="s">
        <v>524</v>
      </c>
      <c r="E55" t="s">
        <v>545</v>
      </c>
      <c r="I55" t="s">
        <v>564</v>
      </c>
    </row>
    <row r="56" spans="1:9">
      <c r="A56" t="s">
        <v>525</v>
      </c>
      <c r="E56" t="s">
        <v>546</v>
      </c>
      <c r="I56" t="s">
        <v>565</v>
      </c>
    </row>
    <row r="57" spans="1:9">
      <c r="A57" t="s">
        <v>526</v>
      </c>
      <c r="E57" t="s">
        <v>547</v>
      </c>
      <c r="I57" t="s">
        <v>566</v>
      </c>
    </row>
    <row r="58" spans="1:9">
      <c r="A58" t="s">
        <v>527</v>
      </c>
      <c r="E58" t="s">
        <v>548</v>
      </c>
    </row>
    <row r="59" spans="1:9">
      <c r="A59" t="s">
        <v>528</v>
      </c>
      <c r="E59" t="s">
        <v>549</v>
      </c>
    </row>
    <row r="60" spans="1:9">
      <c r="A60" t="s">
        <v>529</v>
      </c>
      <c r="E60" t="s">
        <v>550</v>
      </c>
    </row>
    <row r="61" spans="1:9">
      <c r="A61" t="s">
        <v>530</v>
      </c>
      <c r="E61" t="s">
        <v>551</v>
      </c>
    </row>
    <row r="62" spans="1:9">
      <c r="A62" t="s">
        <v>531</v>
      </c>
      <c r="E62" t="s">
        <v>552</v>
      </c>
    </row>
    <row r="63" spans="1:9">
      <c r="A63" t="s">
        <v>532</v>
      </c>
      <c r="E63" t="s">
        <v>553</v>
      </c>
    </row>
    <row r="64" spans="1:9">
      <c r="A64" t="s">
        <v>533</v>
      </c>
      <c r="E64" t="s">
        <v>554</v>
      </c>
    </row>
    <row r="65" spans="1:9">
      <c r="A65" t="s">
        <v>534</v>
      </c>
      <c r="E65" t="s">
        <v>555</v>
      </c>
    </row>
    <row r="66" spans="1:9">
      <c r="A66" t="s">
        <v>535</v>
      </c>
      <c r="E66" t="s">
        <v>556</v>
      </c>
    </row>
    <row r="67" spans="1:9">
      <c r="A67" t="s">
        <v>536</v>
      </c>
    </row>
    <row r="68" spans="1:9">
      <c r="A68" t="s">
        <v>537</v>
      </c>
    </row>
    <row r="70" spans="1:9">
      <c r="A70" t="s">
        <v>567</v>
      </c>
    </row>
    <row r="71" spans="1:9">
      <c r="A71" t="s">
        <v>568</v>
      </c>
      <c r="E71" t="s">
        <v>575</v>
      </c>
      <c r="I71" t="s">
        <v>580</v>
      </c>
    </row>
    <row r="72" spans="1:9">
      <c r="A72" t="s">
        <v>569</v>
      </c>
      <c r="E72" t="s">
        <v>576</v>
      </c>
      <c r="I72" t="s">
        <v>581</v>
      </c>
    </row>
    <row r="73" spans="1:9">
      <c r="A73" t="s">
        <v>570</v>
      </c>
      <c r="E73" t="s">
        <v>577</v>
      </c>
      <c r="I73" t="s">
        <v>582</v>
      </c>
    </row>
    <row r="74" spans="1:9">
      <c r="A74" t="s">
        <v>571</v>
      </c>
      <c r="E74" t="s">
        <v>578</v>
      </c>
      <c r="I74" t="s">
        <v>583</v>
      </c>
    </row>
    <row r="75" spans="1:9">
      <c r="A75" t="s">
        <v>572</v>
      </c>
      <c r="E75" t="s">
        <v>579</v>
      </c>
      <c r="I75" t="s">
        <v>584</v>
      </c>
    </row>
    <row r="76" spans="1:9">
      <c r="A76" t="s">
        <v>573</v>
      </c>
    </row>
    <row r="77" spans="1:9">
      <c r="A77" t="s">
        <v>574</v>
      </c>
    </row>
    <row r="79" spans="1:9">
      <c r="A79" t="s">
        <v>585</v>
      </c>
    </row>
    <row r="80" spans="1:9">
      <c r="A80" t="s">
        <v>586</v>
      </c>
    </row>
    <row r="81" spans="1:9">
      <c r="A81" t="s">
        <v>587</v>
      </c>
    </row>
    <row r="82" spans="1:9">
      <c r="A82" t="s">
        <v>588</v>
      </c>
    </row>
    <row r="83" spans="1:9">
      <c r="A83" t="s">
        <v>589</v>
      </c>
    </row>
    <row r="84" spans="1:9">
      <c r="A84" t="s">
        <v>590</v>
      </c>
    </row>
    <row r="85" spans="1:9">
      <c r="A85" t="s">
        <v>591</v>
      </c>
    </row>
    <row r="86" spans="1:9">
      <c r="A86" t="s">
        <v>592</v>
      </c>
    </row>
    <row r="87" spans="1:9">
      <c r="A87" t="s">
        <v>593</v>
      </c>
    </row>
    <row r="89" spans="1:9">
      <c r="A89" t="s">
        <v>594</v>
      </c>
    </row>
    <row r="90" spans="1:9">
      <c r="A90" t="s">
        <v>595</v>
      </c>
      <c r="E90" t="s">
        <v>600</v>
      </c>
      <c r="I90" t="s">
        <v>595</v>
      </c>
    </row>
    <row r="91" spans="1:9">
      <c r="A91" t="s">
        <v>596</v>
      </c>
      <c r="E91" t="s">
        <v>601</v>
      </c>
      <c r="I91" t="s">
        <v>607</v>
      </c>
    </row>
    <row r="92" spans="1:9">
      <c r="A92" t="s">
        <v>597</v>
      </c>
      <c r="E92" t="s">
        <v>602</v>
      </c>
      <c r="I92" t="s">
        <v>608</v>
      </c>
    </row>
    <row r="93" spans="1:9">
      <c r="A93" t="s">
        <v>598</v>
      </c>
      <c r="E93" t="s">
        <v>603</v>
      </c>
      <c r="I93" t="s">
        <v>609</v>
      </c>
    </row>
    <row r="94" spans="1:9">
      <c r="A94" t="s">
        <v>599</v>
      </c>
      <c r="E94" t="s">
        <v>604</v>
      </c>
      <c r="I94" t="s">
        <v>610</v>
      </c>
    </row>
    <row r="95" spans="1:9">
      <c r="E95" t="s">
        <v>605</v>
      </c>
    </row>
    <row r="96" spans="1:9">
      <c r="E96" t="s">
        <v>606</v>
      </c>
    </row>
    <row r="98" spans="1:9">
      <c r="A98" t="s">
        <v>611</v>
      </c>
    </row>
    <row r="99" spans="1:9">
      <c r="A99" t="s">
        <v>612</v>
      </c>
      <c r="E99" t="s">
        <v>617</v>
      </c>
      <c r="I99" t="s">
        <v>621</v>
      </c>
    </row>
    <row r="100" spans="1:9">
      <c r="A100" t="s">
        <v>613</v>
      </c>
      <c r="E100" t="s">
        <v>618</v>
      </c>
      <c r="I100" t="s">
        <v>622</v>
      </c>
    </row>
    <row r="101" spans="1:9">
      <c r="A101" t="s">
        <v>614</v>
      </c>
      <c r="E101" t="s">
        <v>582</v>
      </c>
      <c r="I101" t="s">
        <v>623</v>
      </c>
    </row>
    <row r="102" spans="1:9">
      <c r="A102" t="s">
        <v>615</v>
      </c>
      <c r="E102" t="s">
        <v>619</v>
      </c>
      <c r="I102" t="s">
        <v>624</v>
      </c>
    </row>
    <row r="103" spans="1:9">
      <c r="A103" t="s">
        <v>616</v>
      </c>
      <c r="E103" t="s">
        <v>620</v>
      </c>
      <c r="I103" t="s">
        <v>625</v>
      </c>
    </row>
    <row r="104" spans="1:9">
      <c r="I104" t="s">
        <v>626</v>
      </c>
    </row>
    <row r="105" spans="1:9">
      <c r="I105" t="s">
        <v>590</v>
      </c>
    </row>
    <row r="106" spans="1:9">
      <c r="I106" t="s">
        <v>627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1852F-BA9E-488E-841B-9F4E9F379B13}">
  <sheetPr codeName="Лист31">
    <tabColor rgb="FFFFFF00"/>
  </sheetPr>
  <dimension ref="A1:I95"/>
  <sheetViews>
    <sheetView workbookViewId="0">
      <selection activeCell="M93" sqref="M93"/>
    </sheetView>
  </sheetViews>
  <sheetFormatPr defaultRowHeight="15"/>
  <cols>
    <col min="1" max="16384" width="9.140625" style="6"/>
  </cols>
  <sheetData>
    <row r="1" spans="1:9" ht="18.75">
      <c r="A1" s="4" t="s">
        <v>1683</v>
      </c>
    </row>
    <row r="2" spans="1:9">
      <c r="A2" s="3" t="s">
        <v>1684</v>
      </c>
      <c r="E2" s="3" t="s">
        <v>1697</v>
      </c>
      <c r="I2" s="3" t="s">
        <v>1703</v>
      </c>
    </row>
    <row r="3" spans="1:9">
      <c r="A3" s="5" t="s">
        <v>1685</v>
      </c>
      <c r="E3" s="5" t="s">
        <v>98</v>
      </c>
      <c r="I3" s="5" t="s">
        <v>447</v>
      </c>
    </row>
    <row r="4" spans="1:9">
      <c r="A4" s="5" t="s">
        <v>1686</v>
      </c>
      <c r="E4" s="5" t="s">
        <v>99</v>
      </c>
      <c r="I4" s="5" t="s">
        <v>448</v>
      </c>
    </row>
    <row r="5" spans="1:9">
      <c r="A5" s="5" t="s">
        <v>1687</v>
      </c>
      <c r="E5" s="5" t="s">
        <v>100</v>
      </c>
      <c r="I5" s="5" t="s">
        <v>1704</v>
      </c>
    </row>
    <row r="6" spans="1:9">
      <c r="A6" s="5" t="s">
        <v>1688</v>
      </c>
      <c r="E6" s="5" t="s">
        <v>1698</v>
      </c>
      <c r="I6" s="5" t="s">
        <v>1705</v>
      </c>
    </row>
    <row r="7" spans="1:9">
      <c r="A7" s="5" t="s">
        <v>1689</v>
      </c>
      <c r="E7" s="5" t="s">
        <v>1699</v>
      </c>
      <c r="I7" s="5" t="s">
        <v>1706</v>
      </c>
    </row>
    <row r="8" spans="1:9">
      <c r="A8" s="5" t="s">
        <v>1690</v>
      </c>
      <c r="E8" s="5" t="s">
        <v>1700</v>
      </c>
      <c r="I8" s="5" t="s">
        <v>1707</v>
      </c>
    </row>
    <row r="9" spans="1:9">
      <c r="A9" s="5" t="s">
        <v>1691</v>
      </c>
      <c r="E9" s="5" t="s">
        <v>1701</v>
      </c>
    </row>
    <row r="10" spans="1:9">
      <c r="A10" s="5" t="s">
        <v>1692</v>
      </c>
      <c r="E10" s="5" t="s">
        <v>1702</v>
      </c>
    </row>
    <row r="11" spans="1:9">
      <c r="A11" s="5" t="s">
        <v>1693</v>
      </c>
    </row>
    <row r="12" spans="1:9">
      <c r="A12" s="5" t="s">
        <v>1694</v>
      </c>
    </row>
    <row r="13" spans="1:9">
      <c r="A13" s="5" t="s">
        <v>1695</v>
      </c>
    </row>
    <row r="14" spans="1:9">
      <c r="A14" s="5" t="s">
        <v>1696</v>
      </c>
    </row>
    <row r="16" spans="1:9">
      <c r="A16" s="3" t="s">
        <v>1708</v>
      </c>
      <c r="E16" s="3" t="s">
        <v>458</v>
      </c>
      <c r="I16" s="3" t="s">
        <v>473</v>
      </c>
    </row>
    <row r="17" spans="1:9">
      <c r="A17" s="5" t="s">
        <v>138</v>
      </c>
      <c r="E17" s="5" t="s">
        <v>459</v>
      </c>
      <c r="I17" s="5" t="s">
        <v>474</v>
      </c>
    </row>
    <row r="18" spans="1:9">
      <c r="A18" s="5" t="s">
        <v>139</v>
      </c>
      <c r="E18" s="5" t="s">
        <v>1713</v>
      </c>
      <c r="I18" s="5" t="s">
        <v>1721</v>
      </c>
    </row>
    <row r="19" spans="1:9">
      <c r="A19" s="5" t="s">
        <v>1709</v>
      </c>
      <c r="E19" s="5" t="s">
        <v>1714</v>
      </c>
      <c r="I19" s="5" t="s">
        <v>477</v>
      </c>
    </row>
    <row r="20" spans="1:9">
      <c r="A20" s="5" t="s">
        <v>1710</v>
      </c>
      <c r="E20" s="5" t="s">
        <v>1715</v>
      </c>
      <c r="I20" s="5" t="s">
        <v>478</v>
      </c>
    </row>
    <row r="21" spans="1:9">
      <c r="A21" s="5" t="s">
        <v>1711</v>
      </c>
      <c r="E21" s="5" t="s">
        <v>1716</v>
      </c>
    </row>
    <row r="22" spans="1:9">
      <c r="A22" s="5" t="s">
        <v>1712</v>
      </c>
      <c r="E22" s="5" t="s">
        <v>1717</v>
      </c>
    </row>
    <row r="23" spans="1:9">
      <c r="E23" s="5" t="s">
        <v>1718</v>
      </c>
    </row>
    <row r="24" spans="1:9">
      <c r="E24" s="5" t="s">
        <v>1719</v>
      </c>
    </row>
    <row r="25" spans="1:9">
      <c r="E25" s="5" t="s">
        <v>471</v>
      </c>
    </row>
    <row r="26" spans="1:9">
      <c r="E26" s="5" t="s">
        <v>1720</v>
      </c>
    </row>
    <row r="28" spans="1:9">
      <c r="A28" s="3" t="s">
        <v>479</v>
      </c>
      <c r="E28" s="3" t="s">
        <v>507</v>
      </c>
      <c r="I28" s="3" t="s">
        <v>517</v>
      </c>
    </row>
    <row r="29" spans="1:9">
      <c r="A29" s="5" t="s">
        <v>1722</v>
      </c>
      <c r="E29" s="5" t="s">
        <v>1726</v>
      </c>
      <c r="I29" s="5" t="s">
        <v>518</v>
      </c>
    </row>
    <row r="30" spans="1:9">
      <c r="A30" s="5" t="s">
        <v>1723</v>
      </c>
      <c r="E30" s="5" t="s">
        <v>1727</v>
      </c>
      <c r="I30" s="5" t="s">
        <v>519</v>
      </c>
    </row>
    <row r="31" spans="1:9">
      <c r="A31" s="5" t="s">
        <v>1724</v>
      </c>
      <c r="E31" s="5" t="s">
        <v>510</v>
      </c>
      <c r="I31" s="5" t="s">
        <v>520</v>
      </c>
    </row>
    <row r="32" spans="1:9">
      <c r="A32" s="5" t="s">
        <v>1725</v>
      </c>
      <c r="E32" s="5" t="s">
        <v>511</v>
      </c>
      <c r="I32" s="5" t="s">
        <v>521</v>
      </c>
    </row>
    <row r="33" spans="5:9">
      <c r="E33" s="5" t="s">
        <v>194</v>
      </c>
      <c r="I33" s="5" t="s">
        <v>522</v>
      </c>
    </row>
    <row r="34" spans="5:9">
      <c r="E34" s="5" t="s">
        <v>512</v>
      </c>
      <c r="I34" s="5" t="s">
        <v>523</v>
      </c>
    </row>
    <row r="35" spans="5:9">
      <c r="E35" s="5" t="s">
        <v>513</v>
      </c>
      <c r="I35" s="5" t="s">
        <v>524</v>
      </c>
    </row>
    <row r="36" spans="5:9">
      <c r="E36" s="5" t="s">
        <v>1728</v>
      </c>
      <c r="I36" s="5" t="s">
        <v>525</v>
      </c>
    </row>
    <row r="37" spans="5:9">
      <c r="E37" s="5" t="s">
        <v>515</v>
      </c>
      <c r="I37" s="5" t="s">
        <v>526</v>
      </c>
    </row>
    <row r="38" spans="5:9">
      <c r="E38" s="5" t="s">
        <v>516</v>
      </c>
      <c r="I38" s="5" t="s">
        <v>527</v>
      </c>
    </row>
    <row r="39" spans="5:9">
      <c r="I39" s="5" t="s">
        <v>528</v>
      </c>
    </row>
    <row r="40" spans="5:9">
      <c r="I40" s="5" t="s">
        <v>529</v>
      </c>
    </row>
    <row r="41" spans="5:9">
      <c r="I41" s="5" t="s">
        <v>530</v>
      </c>
    </row>
    <row r="42" spans="5:9">
      <c r="I42" s="5" t="s">
        <v>531</v>
      </c>
    </row>
    <row r="43" spans="5:9">
      <c r="I43" s="5" t="s">
        <v>532</v>
      </c>
    </row>
    <row r="44" spans="5:9">
      <c r="I44" s="5" t="s">
        <v>533</v>
      </c>
    </row>
    <row r="45" spans="5:9">
      <c r="I45" s="5" t="s">
        <v>534</v>
      </c>
    </row>
    <row r="46" spans="5:9">
      <c r="I46" s="5" t="s">
        <v>535</v>
      </c>
    </row>
    <row r="47" spans="5:9">
      <c r="I47" s="5" t="s">
        <v>536</v>
      </c>
    </row>
    <row r="48" spans="5:9">
      <c r="I48" s="5" t="s">
        <v>537</v>
      </c>
    </row>
    <row r="50" spans="1:9">
      <c r="A50" s="3" t="s">
        <v>1729</v>
      </c>
      <c r="E50" s="3" t="s">
        <v>538</v>
      </c>
      <c r="I50" s="3" t="s">
        <v>1738</v>
      </c>
    </row>
    <row r="51" spans="1:9">
      <c r="A51" s="5" t="s">
        <v>489</v>
      </c>
      <c r="E51" s="5" t="s">
        <v>1730</v>
      </c>
      <c r="I51" s="5" t="s">
        <v>501</v>
      </c>
    </row>
    <row r="52" spans="1:9">
      <c r="A52" s="5" t="s">
        <v>490</v>
      </c>
      <c r="E52" s="5" t="s">
        <v>540</v>
      </c>
      <c r="I52" s="5" t="s">
        <v>1739</v>
      </c>
    </row>
    <row r="53" spans="1:9">
      <c r="A53" s="5" t="s">
        <v>491</v>
      </c>
      <c r="E53" s="5" t="s">
        <v>1731</v>
      </c>
      <c r="I53" s="5" t="s">
        <v>179</v>
      </c>
    </row>
    <row r="54" spans="1:9">
      <c r="A54" s="5" t="s">
        <v>492</v>
      </c>
      <c r="E54" s="5" t="s">
        <v>1732</v>
      </c>
      <c r="I54" s="5" t="s">
        <v>503</v>
      </c>
    </row>
    <row r="55" spans="1:9">
      <c r="A55" s="5" t="s">
        <v>493</v>
      </c>
      <c r="E55" s="5" t="s">
        <v>1733</v>
      </c>
      <c r="I55" s="5" t="s">
        <v>181</v>
      </c>
    </row>
    <row r="56" spans="1:9">
      <c r="A56" s="5" t="s">
        <v>494</v>
      </c>
      <c r="E56" s="5" t="s">
        <v>1734</v>
      </c>
      <c r="I56" s="5" t="s">
        <v>1740</v>
      </c>
    </row>
    <row r="57" spans="1:9">
      <c r="A57" s="5" t="s">
        <v>495</v>
      </c>
      <c r="E57" s="5" t="s">
        <v>1735</v>
      </c>
      <c r="I57" s="5" t="s">
        <v>505</v>
      </c>
    </row>
    <row r="58" spans="1:9">
      <c r="A58" s="5" t="s">
        <v>496</v>
      </c>
      <c r="E58" s="5" t="s">
        <v>551</v>
      </c>
      <c r="I58" s="5" t="s">
        <v>506</v>
      </c>
    </row>
    <row r="59" spans="1:9">
      <c r="A59" s="5" t="s">
        <v>174</v>
      </c>
      <c r="E59" s="5" t="s">
        <v>552</v>
      </c>
    </row>
    <row r="60" spans="1:9">
      <c r="A60" s="5" t="s">
        <v>498</v>
      </c>
      <c r="E60" s="5" t="s">
        <v>1736</v>
      </c>
    </row>
    <row r="61" spans="1:9">
      <c r="E61" s="5" t="s">
        <v>1737</v>
      </c>
    </row>
    <row r="62" spans="1:9">
      <c r="E62" s="5" t="s">
        <v>556</v>
      </c>
    </row>
    <row r="64" spans="1:9">
      <c r="A64" s="3" t="s">
        <v>567</v>
      </c>
    </row>
    <row r="65" spans="1:5">
      <c r="A65" s="3" t="s">
        <v>1741</v>
      </c>
      <c r="E65" s="3" t="s">
        <v>585</v>
      </c>
    </row>
    <row r="66" spans="1:5">
      <c r="A66" s="5" t="s">
        <v>569</v>
      </c>
      <c r="E66" s="5" t="s">
        <v>586</v>
      </c>
    </row>
    <row r="67" spans="1:5">
      <c r="A67" s="5" t="s">
        <v>570</v>
      </c>
      <c r="E67" s="5" t="s">
        <v>587</v>
      </c>
    </row>
    <row r="68" spans="1:5">
      <c r="A68" s="5" t="s">
        <v>1742</v>
      </c>
      <c r="E68" s="5" t="s">
        <v>588</v>
      </c>
    </row>
    <row r="69" spans="1:5">
      <c r="A69" s="5" t="s">
        <v>1743</v>
      </c>
      <c r="E69" s="5" t="s">
        <v>626</v>
      </c>
    </row>
    <row r="70" spans="1:5">
      <c r="A70" s="5" t="s">
        <v>1744</v>
      </c>
      <c r="E70" s="5" t="s">
        <v>590</v>
      </c>
    </row>
    <row r="71" spans="1:5">
      <c r="A71" s="5" t="s">
        <v>1745</v>
      </c>
      <c r="E71" s="5" t="s">
        <v>591</v>
      </c>
    </row>
    <row r="72" spans="1:5">
      <c r="A72" s="5" t="s">
        <v>1746</v>
      </c>
      <c r="E72" s="5" t="s">
        <v>592</v>
      </c>
    </row>
    <row r="73" spans="1:5">
      <c r="A73" s="5" t="s">
        <v>1747</v>
      </c>
      <c r="E73" s="5" t="s">
        <v>593</v>
      </c>
    </row>
    <row r="75" spans="1:5">
      <c r="A75" s="3" t="s">
        <v>575</v>
      </c>
      <c r="E75" s="3" t="s">
        <v>580</v>
      </c>
    </row>
    <row r="76" spans="1:5">
      <c r="A76" s="5" t="s">
        <v>576</v>
      </c>
      <c r="E76" s="5" t="s">
        <v>581</v>
      </c>
    </row>
    <row r="77" spans="1:5">
      <c r="A77" s="5" t="s">
        <v>577</v>
      </c>
      <c r="E77" s="5" t="s">
        <v>582</v>
      </c>
    </row>
    <row r="78" spans="1:5">
      <c r="A78" s="5" t="s">
        <v>578</v>
      </c>
      <c r="E78" s="5" t="s">
        <v>583</v>
      </c>
    </row>
    <row r="79" spans="1:5">
      <c r="A79" s="5" t="s">
        <v>579</v>
      </c>
      <c r="E79" s="5" t="s">
        <v>584</v>
      </c>
    </row>
    <row r="81" spans="1:5">
      <c r="A81" s="3" t="s">
        <v>264</v>
      </c>
    </row>
    <row r="82" spans="1:5">
      <c r="A82" s="3" t="s">
        <v>1748</v>
      </c>
      <c r="E82" s="3" t="s">
        <v>1751</v>
      </c>
    </row>
    <row r="83" spans="1:5">
      <c r="A83" s="5" t="s">
        <v>265</v>
      </c>
      <c r="E83" s="5" t="s">
        <v>267</v>
      </c>
    </row>
    <row r="84" spans="1:5">
      <c r="A84" s="5" t="s">
        <v>266</v>
      </c>
      <c r="E84" s="5" t="s">
        <v>1752</v>
      </c>
    </row>
    <row r="85" spans="1:5">
      <c r="A85" s="5" t="s">
        <v>1749</v>
      </c>
      <c r="E85" s="5" t="s">
        <v>1753</v>
      </c>
    </row>
    <row r="86" spans="1:5">
      <c r="A86" s="5" t="s">
        <v>1750</v>
      </c>
      <c r="E86" s="5" t="s">
        <v>1754</v>
      </c>
    </row>
    <row r="88" spans="1:5">
      <c r="A88" s="3" t="s">
        <v>594</v>
      </c>
    </row>
    <row r="89" spans="1:5">
      <c r="A89" s="3" t="s">
        <v>595</v>
      </c>
      <c r="E89" s="3" t="s">
        <v>600</v>
      </c>
    </row>
    <row r="90" spans="1:5">
      <c r="A90" s="5" t="s">
        <v>596</v>
      </c>
      <c r="E90" s="5" t="s">
        <v>601</v>
      </c>
    </row>
    <row r="91" spans="1:5">
      <c r="A91" s="5" t="s">
        <v>597</v>
      </c>
      <c r="E91" s="5" t="s">
        <v>602</v>
      </c>
    </row>
    <row r="92" spans="1:5">
      <c r="A92" s="5" t="s">
        <v>598</v>
      </c>
      <c r="E92" s="5" t="s">
        <v>603</v>
      </c>
    </row>
    <row r="93" spans="1:5">
      <c r="A93" s="5" t="s">
        <v>599</v>
      </c>
      <c r="E93" s="5" t="s">
        <v>1755</v>
      </c>
    </row>
    <row r="94" spans="1:5">
      <c r="E94" s="5" t="s">
        <v>605</v>
      </c>
    </row>
    <row r="95" spans="1:5">
      <c r="E95" s="5" t="s">
        <v>606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E3501-B7FD-437F-8DD9-634D0B0A3D2D}">
  <sheetPr>
    <tabColor rgb="FFFFFF00"/>
  </sheetPr>
  <dimension ref="A1:M33"/>
  <sheetViews>
    <sheetView topLeftCell="A4" workbookViewId="0">
      <selection activeCell="E27" sqref="E27:E33"/>
    </sheetView>
  </sheetViews>
  <sheetFormatPr defaultRowHeight="15"/>
  <sheetData>
    <row r="1" spans="1:13" ht="18.75">
      <c r="A1" s="27" t="s">
        <v>8395</v>
      </c>
    </row>
    <row r="2" spans="1:13">
      <c r="A2" s="31" t="s">
        <v>2405</v>
      </c>
    </row>
    <row r="3" spans="1:13">
      <c r="A3" s="34" t="s">
        <v>8396</v>
      </c>
      <c r="E3" s="34" t="s">
        <v>8403</v>
      </c>
      <c r="I3" s="34" t="s">
        <v>8410</v>
      </c>
      <c r="M3" s="34" t="s">
        <v>8417</v>
      </c>
    </row>
    <row r="4" spans="1:13">
      <c r="A4" s="30" t="s">
        <v>8397</v>
      </c>
      <c r="E4" s="30" t="s">
        <v>8404</v>
      </c>
      <c r="I4" s="30" t="s">
        <v>8411</v>
      </c>
      <c r="M4" s="30" t="s">
        <v>8418</v>
      </c>
    </row>
    <row r="5" spans="1:13">
      <c r="A5" s="30" t="s">
        <v>8398</v>
      </c>
      <c r="E5" s="30" t="s">
        <v>8405</v>
      </c>
      <c r="I5" s="30" t="s">
        <v>8412</v>
      </c>
      <c r="M5" s="30" t="s">
        <v>8419</v>
      </c>
    </row>
    <row r="6" spans="1:13">
      <c r="A6" s="30" t="s">
        <v>8399</v>
      </c>
      <c r="E6" s="30" t="s">
        <v>8406</v>
      </c>
      <c r="I6" s="30" t="s">
        <v>8413</v>
      </c>
      <c r="M6" s="30" t="s">
        <v>8420</v>
      </c>
    </row>
    <row r="7" spans="1:13">
      <c r="A7" s="30" t="s">
        <v>8400</v>
      </c>
      <c r="E7" s="30" t="s">
        <v>8407</v>
      </c>
      <c r="I7" s="30" t="s">
        <v>8414</v>
      </c>
      <c r="M7" s="30" t="s">
        <v>8421</v>
      </c>
    </row>
    <row r="8" spans="1:13">
      <c r="A8" s="30" t="s">
        <v>8401</v>
      </c>
      <c r="E8" s="30" t="s">
        <v>8408</v>
      </c>
      <c r="I8" s="30" t="s">
        <v>8415</v>
      </c>
      <c r="M8" s="30" t="s">
        <v>8422</v>
      </c>
    </row>
    <row r="9" spans="1:13">
      <c r="A9" s="30" t="s">
        <v>8402</v>
      </c>
      <c r="E9" s="30" t="s">
        <v>8409</v>
      </c>
      <c r="I9" s="30" t="s">
        <v>8416</v>
      </c>
      <c r="M9" s="30" t="s">
        <v>8423</v>
      </c>
    </row>
    <row r="11" spans="1:13">
      <c r="A11" s="34" t="s">
        <v>7595</v>
      </c>
      <c r="E11" s="34" t="s">
        <v>8430</v>
      </c>
    </row>
    <row r="12" spans="1:13">
      <c r="A12" s="30" t="s">
        <v>8424</v>
      </c>
      <c r="E12" s="30" t="s">
        <v>8431</v>
      </c>
    </row>
    <row r="13" spans="1:13">
      <c r="A13" s="30" t="s">
        <v>8425</v>
      </c>
      <c r="E13" s="30" t="s">
        <v>8432</v>
      </c>
    </row>
    <row r="14" spans="1:13">
      <c r="A14" s="30" t="s">
        <v>8426</v>
      </c>
      <c r="E14" s="30" t="s">
        <v>8433</v>
      </c>
    </row>
    <row r="15" spans="1:13">
      <c r="A15" s="30" t="s">
        <v>8427</v>
      </c>
      <c r="E15" s="30" t="s">
        <v>8434</v>
      </c>
    </row>
    <row r="16" spans="1:13">
      <c r="A16" s="30" t="s">
        <v>8428</v>
      </c>
      <c r="E16" s="30" t="s">
        <v>8435</v>
      </c>
    </row>
    <row r="17" spans="1:13">
      <c r="A17" s="30" t="s">
        <v>8429</v>
      </c>
      <c r="E17" s="30" t="s">
        <v>8436</v>
      </c>
    </row>
    <row r="19" spans="1:13">
      <c r="A19" s="34" t="s">
        <v>7609</v>
      </c>
      <c r="E19" s="34" t="s">
        <v>7616</v>
      </c>
      <c r="I19" s="34" t="s">
        <v>7750</v>
      </c>
      <c r="M19" s="34" t="s">
        <v>7630</v>
      </c>
    </row>
    <row r="20" spans="1:13">
      <c r="A20" s="30" t="s">
        <v>8437</v>
      </c>
      <c r="E20" s="30" t="s">
        <v>8443</v>
      </c>
      <c r="I20" s="30" t="s">
        <v>8449</v>
      </c>
      <c r="M20" s="30" t="s">
        <v>8455</v>
      </c>
    </row>
    <row r="21" spans="1:13">
      <c r="A21" s="30" t="s">
        <v>8438</v>
      </c>
      <c r="E21" s="30" t="s">
        <v>8444</v>
      </c>
      <c r="I21" s="30" t="s">
        <v>8450</v>
      </c>
      <c r="M21" s="30" t="s">
        <v>8456</v>
      </c>
    </row>
    <row r="22" spans="1:13">
      <c r="A22" s="30" t="s">
        <v>8439</v>
      </c>
      <c r="E22" s="30" t="s">
        <v>8445</v>
      </c>
      <c r="I22" s="30" t="s">
        <v>8451</v>
      </c>
      <c r="M22" s="30" t="s">
        <v>8457</v>
      </c>
    </row>
    <row r="23" spans="1:13">
      <c r="A23" s="30" t="s">
        <v>8440</v>
      </c>
      <c r="E23" s="30" t="s">
        <v>8446</v>
      </c>
      <c r="I23" s="30" t="s">
        <v>8452</v>
      </c>
      <c r="M23" s="30" t="s">
        <v>8458</v>
      </c>
    </row>
    <row r="24" spans="1:13">
      <c r="A24" s="30" t="s">
        <v>8441</v>
      </c>
      <c r="E24" s="30" t="s">
        <v>8447</v>
      </c>
      <c r="I24" s="30" t="s">
        <v>8453</v>
      </c>
      <c r="M24" s="30" t="s">
        <v>8459</v>
      </c>
    </row>
    <row r="25" spans="1:13">
      <c r="A25" s="30" t="s">
        <v>8442</v>
      </c>
      <c r="E25" s="30" t="s">
        <v>8448</v>
      </c>
      <c r="I25" s="30" t="s">
        <v>8454</v>
      </c>
      <c r="M25" s="30" t="s">
        <v>8460</v>
      </c>
    </row>
    <row r="27" spans="1:13">
      <c r="A27" s="34" t="s">
        <v>7637</v>
      </c>
      <c r="E27" s="34" t="s">
        <v>7898</v>
      </c>
    </row>
    <row r="28" spans="1:13">
      <c r="A28" s="30" t="s">
        <v>8461</v>
      </c>
      <c r="E28" s="30" t="s">
        <v>8465</v>
      </c>
    </row>
    <row r="29" spans="1:13">
      <c r="A29" s="30" t="s">
        <v>8462</v>
      </c>
      <c r="E29" s="30" t="s">
        <v>8466</v>
      </c>
    </row>
    <row r="30" spans="1:13">
      <c r="A30" s="30" t="s">
        <v>8463</v>
      </c>
      <c r="E30" s="30" t="s">
        <v>8467</v>
      </c>
    </row>
    <row r="31" spans="1:13">
      <c r="A31" s="30" t="s">
        <v>8464</v>
      </c>
      <c r="E31" s="30" t="s">
        <v>8468</v>
      </c>
    </row>
    <row r="32" spans="1:13">
      <c r="A32" s="30" t="s">
        <v>7831</v>
      </c>
      <c r="E32" s="30" t="s">
        <v>8469</v>
      </c>
    </row>
    <row r="33" spans="1:5">
      <c r="A33" s="30" t="s">
        <v>7832</v>
      </c>
      <c r="E33" s="30" t="s">
        <v>8470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8499-241E-4EB8-BEF3-9CCDD5EB0134}">
  <sheetPr codeName="Лист32">
    <tabColor rgb="FFFFFF00"/>
  </sheetPr>
  <dimension ref="A1:I69"/>
  <sheetViews>
    <sheetView workbookViewId="0">
      <selection activeCell="O31" sqref="O31"/>
    </sheetView>
  </sheetViews>
  <sheetFormatPr defaultRowHeight="15"/>
  <cols>
    <col min="1" max="1" width="9.140625" style="6" customWidth="1"/>
    <col min="2" max="16384" width="9.140625" style="6"/>
  </cols>
  <sheetData>
    <row r="1" spans="1:5" ht="18.75">
      <c r="A1" s="4" t="s">
        <v>1861</v>
      </c>
    </row>
    <row r="2" spans="1:5">
      <c r="A2" s="3" t="s">
        <v>1862</v>
      </c>
      <c r="E2" s="3" t="s">
        <v>1871</v>
      </c>
    </row>
    <row r="3" spans="1:5">
      <c r="A3" s="5" t="s">
        <v>1863</v>
      </c>
      <c r="E3" s="5" t="s">
        <v>1872</v>
      </c>
    </row>
    <row r="4" spans="1:5">
      <c r="A4" s="5" t="s">
        <v>1864</v>
      </c>
      <c r="E4" s="5" t="s">
        <v>1873</v>
      </c>
    </row>
    <row r="5" spans="1:5">
      <c r="A5" s="5" t="s">
        <v>1865</v>
      </c>
      <c r="E5" s="5" t="s">
        <v>1874</v>
      </c>
    </row>
    <row r="6" spans="1:5">
      <c r="A6" s="5" t="s">
        <v>1866</v>
      </c>
      <c r="E6" s="5" t="s">
        <v>1875</v>
      </c>
    </row>
    <row r="7" spans="1:5">
      <c r="A7" s="5" t="s">
        <v>1867</v>
      </c>
      <c r="E7" s="5" t="s">
        <v>1876</v>
      </c>
    </row>
    <row r="8" spans="1:5">
      <c r="A8" s="5" t="s">
        <v>1868</v>
      </c>
      <c r="E8" s="5" t="s">
        <v>1877</v>
      </c>
    </row>
    <row r="9" spans="1:5">
      <c r="A9" s="5" t="s">
        <v>1869</v>
      </c>
      <c r="E9" s="5" t="s">
        <v>1878</v>
      </c>
    </row>
    <row r="10" spans="1:5">
      <c r="A10" s="5" t="s">
        <v>1870</v>
      </c>
      <c r="E10" s="5" t="s">
        <v>1879</v>
      </c>
    </row>
    <row r="11" spans="1:5">
      <c r="E11" s="5" t="s">
        <v>1880</v>
      </c>
    </row>
    <row r="12" spans="1:5">
      <c r="E12" s="5" t="s">
        <v>1881</v>
      </c>
    </row>
    <row r="14" spans="1:5">
      <c r="A14" s="3" t="s">
        <v>1882</v>
      </c>
    </row>
    <row r="15" spans="1:5">
      <c r="A15" s="3" t="s">
        <v>1883</v>
      </c>
    </row>
    <row r="16" spans="1:5">
      <c r="A16" s="5" t="s">
        <v>1884</v>
      </c>
    </row>
    <row r="17" spans="1:9">
      <c r="A17" s="5" t="s">
        <v>1885</v>
      </c>
    </row>
    <row r="18" spans="1:9">
      <c r="A18" s="5" t="s">
        <v>1886</v>
      </c>
    </row>
    <row r="19" spans="1:9">
      <c r="A19" s="5" t="s">
        <v>1887</v>
      </c>
    </row>
    <row r="20" spans="1:9">
      <c r="A20" s="5" t="s">
        <v>1888</v>
      </c>
    </row>
    <row r="21" spans="1:9">
      <c r="A21" s="5" t="s">
        <v>1889</v>
      </c>
    </row>
    <row r="22" spans="1:9">
      <c r="A22" s="5" t="s">
        <v>1890</v>
      </c>
    </row>
    <row r="23" spans="1:9">
      <c r="A23" s="5" t="s">
        <v>1891</v>
      </c>
    </row>
    <row r="24" spans="1:9">
      <c r="A24" s="5" t="s">
        <v>1892</v>
      </c>
    </row>
    <row r="25" spans="1:9">
      <c r="A25" s="5" t="s">
        <v>1893</v>
      </c>
    </row>
    <row r="26" spans="1:9">
      <c r="A26" s="5" t="s">
        <v>1894</v>
      </c>
    </row>
    <row r="27" spans="1:9">
      <c r="A27" s="5" t="s">
        <v>1895</v>
      </c>
    </row>
    <row r="29" spans="1:9">
      <c r="A29" s="3" t="s">
        <v>1896</v>
      </c>
      <c r="E29" s="3" t="s">
        <v>1905</v>
      </c>
      <c r="I29" s="3" t="s">
        <v>1914</v>
      </c>
    </row>
    <row r="30" spans="1:9">
      <c r="A30" s="5" t="s">
        <v>1897</v>
      </c>
      <c r="E30" s="5" t="s">
        <v>1906</v>
      </c>
      <c r="I30" s="5" t="s">
        <v>1915</v>
      </c>
    </row>
    <row r="31" spans="1:9">
      <c r="A31" s="5" t="s">
        <v>1898</v>
      </c>
      <c r="E31" s="5" t="s">
        <v>1907</v>
      </c>
      <c r="I31" s="5" t="s">
        <v>1916</v>
      </c>
    </row>
    <row r="32" spans="1:9">
      <c r="A32" s="5" t="s">
        <v>1899</v>
      </c>
      <c r="E32" s="5" t="s">
        <v>1908</v>
      </c>
      <c r="I32" s="5" t="s">
        <v>1917</v>
      </c>
    </row>
    <row r="33" spans="1:9">
      <c r="A33" s="5" t="s">
        <v>1900</v>
      </c>
      <c r="E33" s="5" t="s">
        <v>1909</v>
      </c>
      <c r="I33" s="5" t="s">
        <v>1918</v>
      </c>
    </row>
    <row r="34" spans="1:9">
      <c r="A34" s="5" t="s">
        <v>1901</v>
      </c>
      <c r="E34" s="5" t="s">
        <v>1910</v>
      </c>
      <c r="I34" s="5" t="s">
        <v>1919</v>
      </c>
    </row>
    <row r="35" spans="1:9">
      <c r="A35" s="5" t="s">
        <v>1902</v>
      </c>
      <c r="E35" s="5" t="s">
        <v>1911</v>
      </c>
      <c r="I35" s="5" t="s">
        <v>1920</v>
      </c>
    </row>
    <row r="36" spans="1:9">
      <c r="A36" s="5" t="s">
        <v>1903</v>
      </c>
      <c r="E36" s="5" t="s">
        <v>1912</v>
      </c>
      <c r="I36" s="5" t="s">
        <v>1921</v>
      </c>
    </row>
    <row r="37" spans="1:9">
      <c r="A37" s="5" t="s">
        <v>1904</v>
      </c>
      <c r="E37" s="5" t="s">
        <v>1913</v>
      </c>
      <c r="I37" s="5" t="s">
        <v>1922</v>
      </c>
    </row>
    <row r="39" spans="1:9">
      <c r="A39" s="3" t="s">
        <v>1923</v>
      </c>
      <c r="E39" s="3" t="s">
        <v>1923</v>
      </c>
    </row>
    <row r="40" spans="1:9">
      <c r="A40" s="5" t="s">
        <v>1924</v>
      </c>
      <c r="E40" s="5" t="s">
        <v>1932</v>
      </c>
    </row>
    <row r="41" spans="1:9">
      <c r="A41" s="5" t="s">
        <v>1925</v>
      </c>
      <c r="E41" s="5" t="s">
        <v>1933</v>
      </c>
    </row>
    <row r="42" spans="1:9">
      <c r="A42" s="5" t="s">
        <v>1926</v>
      </c>
      <c r="E42" s="5" t="s">
        <v>1934</v>
      </c>
    </row>
    <row r="43" spans="1:9">
      <c r="A43" s="5" t="s">
        <v>1927</v>
      </c>
      <c r="E43" s="5" t="s">
        <v>1935</v>
      </c>
    </row>
    <row r="44" spans="1:9">
      <c r="A44" s="5" t="s">
        <v>1928</v>
      </c>
      <c r="E44" s="5" t="s">
        <v>1936</v>
      </c>
    </row>
    <row r="45" spans="1:9">
      <c r="A45" s="5" t="s">
        <v>1929</v>
      </c>
      <c r="E45" s="5" t="s">
        <v>1937</v>
      </c>
    </row>
    <row r="46" spans="1:9">
      <c r="A46" s="5" t="s">
        <v>1930</v>
      </c>
      <c r="E46" s="5" t="s">
        <v>1938</v>
      </c>
    </row>
    <row r="47" spans="1:9">
      <c r="A47" s="5" t="s">
        <v>1931</v>
      </c>
      <c r="E47" s="5" t="s">
        <v>1939</v>
      </c>
    </row>
    <row r="65" spans="1:1">
      <c r="A65" s="3" t="s">
        <v>1940</v>
      </c>
    </row>
    <row r="66" spans="1:1">
      <c r="A66" s="5" t="s">
        <v>1941</v>
      </c>
    </row>
    <row r="67" spans="1:1">
      <c r="A67" s="5" t="s">
        <v>1942</v>
      </c>
    </row>
    <row r="68" spans="1:1">
      <c r="A68" s="5" t="s">
        <v>1943</v>
      </c>
    </row>
    <row r="69" spans="1:1">
      <c r="A69" s="5" t="s">
        <v>1944</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55965-07FB-43F0-B744-A34B1633B8C3}">
  <sheetPr codeName="Лист33">
    <tabColor rgb="FFFFFF00"/>
  </sheetPr>
  <dimension ref="A1:N51"/>
  <sheetViews>
    <sheetView workbookViewId="0">
      <selection activeCell="Q12" sqref="Q12"/>
    </sheetView>
  </sheetViews>
  <sheetFormatPr defaultRowHeight="15"/>
  <cols>
    <col min="1" max="16384" width="9.140625" style="6"/>
  </cols>
  <sheetData>
    <row r="1" spans="1:14">
      <c r="A1" s="3" t="s">
        <v>5090</v>
      </c>
      <c r="E1" s="3" t="s">
        <v>5141</v>
      </c>
      <c r="I1" s="3" t="s">
        <v>5152</v>
      </c>
      <c r="N1" s="3" t="s">
        <v>5205</v>
      </c>
    </row>
    <row r="2" spans="1:14">
      <c r="A2" s="5" t="s">
        <v>5091</v>
      </c>
      <c r="E2" s="5" t="s">
        <v>5142</v>
      </c>
      <c r="I2" s="5" t="s">
        <v>5153</v>
      </c>
      <c r="N2" s="5" t="s">
        <v>5206</v>
      </c>
    </row>
    <row r="3" spans="1:14">
      <c r="A3" s="5" t="s">
        <v>5092</v>
      </c>
      <c r="E3" s="5" t="s">
        <v>5143</v>
      </c>
      <c r="I3" s="5" t="s">
        <v>5154</v>
      </c>
      <c r="N3" s="5" t="s">
        <v>5207</v>
      </c>
    </row>
    <row r="4" spans="1:14">
      <c r="A4" s="5" t="s">
        <v>5093</v>
      </c>
      <c r="E4" s="5" t="s">
        <v>5144</v>
      </c>
      <c r="I4" s="5" t="s">
        <v>5155</v>
      </c>
      <c r="N4" s="5" t="s">
        <v>5208</v>
      </c>
    </row>
    <row r="5" spans="1:14">
      <c r="A5" s="5" t="s">
        <v>5094</v>
      </c>
      <c r="E5" s="5" t="s">
        <v>5145</v>
      </c>
      <c r="I5" s="5" t="s">
        <v>5156</v>
      </c>
      <c r="N5" s="5" t="s">
        <v>5209</v>
      </c>
    </row>
    <row r="6" spans="1:14">
      <c r="A6" s="5" t="s">
        <v>5095</v>
      </c>
      <c r="E6" s="5" t="s">
        <v>5146</v>
      </c>
      <c r="I6" s="5" t="s">
        <v>5157</v>
      </c>
      <c r="N6" s="5" t="s">
        <v>5210</v>
      </c>
    </row>
    <row r="7" spans="1:14">
      <c r="A7" s="5" t="s">
        <v>5096</v>
      </c>
      <c r="E7" s="5" t="s">
        <v>5147</v>
      </c>
      <c r="I7" s="5" t="s">
        <v>5158</v>
      </c>
      <c r="N7" s="5" t="s">
        <v>5211</v>
      </c>
    </row>
    <row r="8" spans="1:14">
      <c r="A8" s="5" t="s">
        <v>5097</v>
      </c>
      <c r="E8" s="5" t="s">
        <v>5148</v>
      </c>
      <c r="I8" s="5" t="s">
        <v>5159</v>
      </c>
      <c r="N8" s="5" t="s">
        <v>5212</v>
      </c>
    </row>
    <row r="9" spans="1:14">
      <c r="A9" s="5" t="s">
        <v>5098</v>
      </c>
      <c r="E9" s="5" t="s">
        <v>5149</v>
      </c>
      <c r="I9" s="5" t="s">
        <v>5160</v>
      </c>
      <c r="N9" s="5" t="s">
        <v>5213</v>
      </c>
    </row>
    <row r="10" spans="1:14">
      <c r="A10" s="5" t="s">
        <v>5099</v>
      </c>
      <c r="E10" s="5" t="s">
        <v>5150</v>
      </c>
      <c r="I10" s="5" t="s">
        <v>5161</v>
      </c>
      <c r="N10" s="5" t="s">
        <v>5214</v>
      </c>
    </row>
    <row r="11" spans="1:14">
      <c r="A11" s="5" t="s">
        <v>5100</v>
      </c>
      <c r="E11" s="5" t="s">
        <v>5151</v>
      </c>
      <c r="I11" s="5" t="s">
        <v>5162</v>
      </c>
      <c r="N11" s="5" t="s">
        <v>5215</v>
      </c>
    </row>
    <row r="12" spans="1:14">
      <c r="A12" s="5" t="s">
        <v>5101</v>
      </c>
      <c r="I12" s="5" t="s">
        <v>5163</v>
      </c>
      <c r="N12" s="5" t="s">
        <v>5216</v>
      </c>
    </row>
    <row r="13" spans="1:14">
      <c r="A13" s="5" t="s">
        <v>5102</v>
      </c>
      <c r="I13" s="5" t="s">
        <v>5164</v>
      </c>
      <c r="N13" s="5" t="s">
        <v>5217</v>
      </c>
    </row>
    <row r="14" spans="1:14">
      <c r="A14" s="5" t="s">
        <v>5103</v>
      </c>
      <c r="N14" s="5" t="s">
        <v>5218</v>
      </c>
    </row>
    <row r="15" spans="1:14">
      <c r="A15" s="5" t="s">
        <v>5104</v>
      </c>
      <c r="E15" s="3" t="s">
        <v>5165</v>
      </c>
      <c r="I15" s="3" t="s">
        <v>5172</v>
      </c>
      <c r="N15" s="5" t="s">
        <v>5219</v>
      </c>
    </row>
    <row r="16" spans="1:14">
      <c r="A16" s="5" t="s">
        <v>5105</v>
      </c>
      <c r="E16" s="5" t="s">
        <v>5166</v>
      </c>
      <c r="I16" s="5" t="s">
        <v>5173</v>
      </c>
      <c r="N16" s="5" t="s">
        <v>5220</v>
      </c>
    </row>
    <row r="17" spans="1:14">
      <c r="A17" s="5" t="s">
        <v>5106</v>
      </c>
      <c r="E17" s="5" t="s">
        <v>5167</v>
      </c>
      <c r="I17" s="5" t="s">
        <v>5174</v>
      </c>
      <c r="N17" s="5" t="s">
        <v>5221</v>
      </c>
    </row>
    <row r="18" spans="1:14">
      <c r="A18" s="5" t="s">
        <v>5107</v>
      </c>
      <c r="E18" s="5" t="s">
        <v>5168</v>
      </c>
      <c r="I18" s="5" t="s">
        <v>5175</v>
      </c>
      <c r="N18" s="5" t="s">
        <v>5222</v>
      </c>
    </row>
    <row r="19" spans="1:14">
      <c r="A19" s="5" t="s">
        <v>5108</v>
      </c>
      <c r="E19" s="5" t="s">
        <v>5169</v>
      </c>
      <c r="I19" s="5" t="s">
        <v>5176</v>
      </c>
      <c r="N19" s="5" t="s">
        <v>5223</v>
      </c>
    </row>
    <row r="20" spans="1:14">
      <c r="A20" s="5" t="s">
        <v>5109</v>
      </c>
      <c r="E20" s="5" t="s">
        <v>5170</v>
      </c>
      <c r="I20" s="5" t="s">
        <v>5177</v>
      </c>
      <c r="N20" s="5" t="s">
        <v>5224</v>
      </c>
    </row>
    <row r="21" spans="1:14">
      <c r="A21" s="5" t="s">
        <v>5110</v>
      </c>
      <c r="E21" s="5" t="s">
        <v>5171</v>
      </c>
      <c r="I21" s="5" t="s">
        <v>2378</v>
      </c>
      <c r="N21" s="5" t="s">
        <v>5225</v>
      </c>
    </row>
    <row r="22" spans="1:14">
      <c r="A22" s="5" t="s">
        <v>5111</v>
      </c>
      <c r="N22" s="5" t="s">
        <v>5226</v>
      </c>
    </row>
    <row r="23" spans="1:14">
      <c r="A23" s="5" t="s">
        <v>5112</v>
      </c>
      <c r="E23" s="3" t="s">
        <v>5194</v>
      </c>
      <c r="I23" s="3" t="s">
        <v>5178</v>
      </c>
      <c r="N23" s="5" t="s">
        <v>5227</v>
      </c>
    </row>
    <row r="24" spans="1:14">
      <c r="A24" s="5" t="s">
        <v>5113</v>
      </c>
      <c r="E24" s="5" t="s">
        <v>5195</v>
      </c>
      <c r="I24" s="5" t="s">
        <v>5179</v>
      </c>
      <c r="N24" s="5" t="s">
        <v>5228</v>
      </c>
    </row>
    <row r="25" spans="1:14">
      <c r="A25" s="5" t="s">
        <v>5114</v>
      </c>
      <c r="E25" s="5" t="s">
        <v>5196</v>
      </c>
      <c r="I25" s="5" t="s">
        <v>5180</v>
      </c>
      <c r="N25" s="5" t="s">
        <v>5229</v>
      </c>
    </row>
    <row r="26" spans="1:14">
      <c r="A26" s="5" t="s">
        <v>5115</v>
      </c>
      <c r="E26" s="5" t="s">
        <v>5197</v>
      </c>
      <c r="I26" s="5" t="s">
        <v>5181</v>
      </c>
      <c r="N26" s="5" t="s">
        <v>5230</v>
      </c>
    </row>
    <row r="27" spans="1:14">
      <c r="A27" s="5" t="s">
        <v>5116</v>
      </c>
      <c r="E27" s="5" t="s">
        <v>5198</v>
      </c>
      <c r="I27" s="5" t="s">
        <v>5182</v>
      </c>
      <c r="N27" s="5" t="s">
        <v>5231</v>
      </c>
    </row>
    <row r="28" spans="1:14">
      <c r="A28" s="5" t="s">
        <v>5117</v>
      </c>
      <c r="E28" s="5" t="s">
        <v>5199</v>
      </c>
      <c r="I28" s="5" t="s">
        <v>5183</v>
      </c>
      <c r="N28" s="5" t="s">
        <v>5232</v>
      </c>
    </row>
    <row r="29" spans="1:14">
      <c r="A29" s="5" t="s">
        <v>5118</v>
      </c>
      <c r="I29" s="5" t="s">
        <v>5184</v>
      </c>
      <c r="N29" s="5" t="s">
        <v>5233</v>
      </c>
    </row>
    <row r="30" spans="1:14">
      <c r="A30" s="5" t="s">
        <v>5119</v>
      </c>
      <c r="N30" s="5" t="s">
        <v>5234</v>
      </c>
    </row>
    <row r="31" spans="1:14">
      <c r="A31" s="5" t="s">
        <v>5120</v>
      </c>
      <c r="E31" s="3" t="s">
        <v>5200</v>
      </c>
      <c r="I31" s="3" t="s">
        <v>5185</v>
      </c>
      <c r="N31" s="5" t="s">
        <v>5235</v>
      </c>
    </row>
    <row r="32" spans="1:14">
      <c r="A32" s="5" t="s">
        <v>5121</v>
      </c>
      <c r="E32" s="5" t="s">
        <v>5201</v>
      </c>
      <c r="I32" s="5" t="s">
        <v>5186</v>
      </c>
      <c r="N32" s="5" t="s">
        <v>5236</v>
      </c>
    </row>
    <row r="33" spans="1:14">
      <c r="A33" s="5" t="s">
        <v>5122</v>
      </c>
      <c r="E33" s="5" t="s">
        <v>5202</v>
      </c>
      <c r="I33" s="5" t="s">
        <v>5187</v>
      </c>
      <c r="N33" s="5" t="s">
        <v>5237</v>
      </c>
    </row>
    <row r="34" spans="1:14">
      <c r="A34" s="5" t="s">
        <v>5123</v>
      </c>
      <c r="E34" s="5" t="s">
        <v>5203</v>
      </c>
      <c r="I34" s="5" t="s">
        <v>5188</v>
      </c>
      <c r="N34" s="5" t="s">
        <v>5238</v>
      </c>
    </row>
    <row r="35" spans="1:14">
      <c r="A35" s="5" t="s">
        <v>5124</v>
      </c>
      <c r="E35" s="5" t="s">
        <v>5204</v>
      </c>
      <c r="I35" s="5" t="s">
        <v>5189</v>
      </c>
      <c r="N35" s="5" t="s">
        <v>5239</v>
      </c>
    </row>
    <row r="36" spans="1:14">
      <c r="A36" s="5" t="s">
        <v>5125</v>
      </c>
      <c r="I36" s="5" t="s">
        <v>5190</v>
      </c>
      <c r="N36" s="5" t="s">
        <v>5240</v>
      </c>
    </row>
    <row r="37" spans="1:14">
      <c r="A37" s="5" t="s">
        <v>5126</v>
      </c>
      <c r="I37" s="5" t="s">
        <v>5191</v>
      </c>
      <c r="N37" s="5" t="s">
        <v>5241</v>
      </c>
    </row>
    <row r="38" spans="1:14">
      <c r="A38" s="5" t="s">
        <v>5127</v>
      </c>
      <c r="I38" s="5" t="s">
        <v>5192</v>
      </c>
      <c r="N38" s="5" t="s">
        <v>5242</v>
      </c>
    </row>
    <row r="39" spans="1:14">
      <c r="A39" s="5" t="s">
        <v>5128</v>
      </c>
      <c r="I39" s="5" t="s">
        <v>5193</v>
      </c>
      <c r="N39" s="5" t="s">
        <v>5243</v>
      </c>
    </row>
    <row r="40" spans="1:14">
      <c r="A40" s="5" t="s">
        <v>5129</v>
      </c>
      <c r="N40" s="5" t="s">
        <v>5244</v>
      </c>
    </row>
    <row r="41" spans="1:14">
      <c r="A41" s="5" t="s">
        <v>5130</v>
      </c>
      <c r="N41" s="5" t="s">
        <v>5245</v>
      </c>
    </row>
    <row r="42" spans="1:14">
      <c r="A42" s="5" t="s">
        <v>5131</v>
      </c>
      <c r="N42" s="5" t="s">
        <v>5246</v>
      </c>
    </row>
    <row r="43" spans="1:14">
      <c r="A43" s="5" t="s">
        <v>5132</v>
      </c>
      <c r="N43" s="5" t="s">
        <v>5247</v>
      </c>
    </row>
    <row r="44" spans="1:14">
      <c r="A44" s="5" t="s">
        <v>5133</v>
      </c>
      <c r="N44" s="5" t="s">
        <v>5248</v>
      </c>
    </row>
    <row r="45" spans="1:14">
      <c r="A45" s="5" t="s">
        <v>5134</v>
      </c>
      <c r="N45" s="5" t="s">
        <v>5249</v>
      </c>
    </row>
    <row r="46" spans="1:14">
      <c r="A46" s="5" t="s">
        <v>5135</v>
      </c>
      <c r="N46" s="5" t="s">
        <v>5250</v>
      </c>
    </row>
    <row r="47" spans="1:14">
      <c r="A47" s="5" t="s">
        <v>5136</v>
      </c>
      <c r="N47" s="5" t="s">
        <v>5251</v>
      </c>
    </row>
    <row r="48" spans="1:14">
      <c r="A48" s="5" t="s">
        <v>5137</v>
      </c>
      <c r="N48" s="5" t="s">
        <v>5252</v>
      </c>
    </row>
    <row r="49" spans="1:14">
      <c r="A49" s="5" t="s">
        <v>5138</v>
      </c>
      <c r="N49" s="5" t="s">
        <v>5253</v>
      </c>
    </row>
    <row r="50" spans="1:14">
      <c r="A50" s="5" t="s">
        <v>5139</v>
      </c>
      <c r="N50" s="5" t="s">
        <v>5254</v>
      </c>
    </row>
    <row r="51" spans="1:14">
      <c r="A51" s="5" t="s">
        <v>5140</v>
      </c>
      <c r="N51" s="5" t="s">
        <v>5255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3FAFE-AA40-41FF-A9FB-CE84A9ED800A}">
  <sheetPr codeName="Лист34">
    <tabColor rgb="FFFFFF00"/>
  </sheetPr>
  <dimension ref="A1:I63"/>
  <sheetViews>
    <sheetView topLeftCell="A34" workbookViewId="0">
      <selection activeCell="Q68" sqref="Q68"/>
    </sheetView>
  </sheetViews>
  <sheetFormatPr defaultRowHeight="15"/>
  <cols>
    <col min="1" max="16384" width="9.140625" style="6"/>
  </cols>
  <sheetData>
    <row r="1" spans="1:9" ht="18.75">
      <c r="A1" s="4" t="s">
        <v>4880</v>
      </c>
    </row>
    <row r="2" spans="1:9">
      <c r="A2" s="14" t="s">
        <v>4881</v>
      </c>
    </row>
    <row r="3" spans="1:9">
      <c r="A3" s="14"/>
    </row>
    <row r="4" spans="1:9">
      <c r="A4" s="3" t="s">
        <v>4882</v>
      </c>
      <c r="E4" s="3" t="s">
        <v>4889</v>
      </c>
      <c r="I4" s="3" t="s">
        <v>4901</v>
      </c>
    </row>
    <row r="5" spans="1:9">
      <c r="A5" s="5" t="s">
        <v>4883</v>
      </c>
      <c r="E5" s="5" t="s">
        <v>4890</v>
      </c>
      <c r="I5" s="5" t="s">
        <v>4902</v>
      </c>
    </row>
    <row r="6" spans="1:9">
      <c r="A6" s="5" t="s">
        <v>4884</v>
      </c>
      <c r="E6" s="5" t="s">
        <v>4891</v>
      </c>
      <c r="I6" s="5" t="s">
        <v>4903</v>
      </c>
    </row>
    <row r="7" spans="1:9">
      <c r="A7" s="5" t="s">
        <v>4885</v>
      </c>
      <c r="E7" s="5" t="s">
        <v>4892</v>
      </c>
      <c r="I7" s="5" t="s">
        <v>4904</v>
      </c>
    </row>
    <row r="8" spans="1:9">
      <c r="A8" s="5" t="s">
        <v>4886</v>
      </c>
      <c r="E8" s="5" t="s">
        <v>4893</v>
      </c>
      <c r="I8" s="5" t="s">
        <v>4905</v>
      </c>
    </row>
    <row r="9" spans="1:9">
      <c r="A9" s="5" t="s">
        <v>4887</v>
      </c>
      <c r="E9" s="5" t="s">
        <v>2216</v>
      </c>
      <c r="I9" s="5" t="s">
        <v>4906</v>
      </c>
    </row>
    <row r="10" spans="1:9">
      <c r="A10" s="5" t="s">
        <v>4888</v>
      </c>
      <c r="E10" s="5" t="s">
        <v>4894</v>
      </c>
      <c r="I10" s="5" t="s">
        <v>4907</v>
      </c>
    </row>
    <row r="11" spans="1:9">
      <c r="E11" s="5" t="s">
        <v>4895</v>
      </c>
      <c r="I11" s="5" t="s">
        <v>4908</v>
      </c>
    </row>
    <row r="12" spans="1:9">
      <c r="E12" s="5" t="s">
        <v>4896</v>
      </c>
      <c r="I12" s="5" t="s">
        <v>4909</v>
      </c>
    </row>
    <row r="13" spans="1:9">
      <c r="E13" s="5" t="s">
        <v>4897</v>
      </c>
    </row>
    <row r="14" spans="1:9">
      <c r="E14" s="5" t="s">
        <v>4898</v>
      </c>
    </row>
    <row r="15" spans="1:9">
      <c r="E15" s="5" t="s">
        <v>4899</v>
      </c>
    </row>
    <row r="16" spans="1:9">
      <c r="E16" s="5" t="s">
        <v>4900</v>
      </c>
    </row>
    <row r="19" spans="1:9">
      <c r="A19" s="3" t="s">
        <v>4910</v>
      </c>
      <c r="E19" s="3" t="s">
        <v>4914</v>
      </c>
      <c r="I19" s="3" t="s">
        <v>4911</v>
      </c>
    </row>
    <row r="20" spans="1:9">
      <c r="A20" s="5" t="s">
        <v>330</v>
      </c>
      <c r="E20" s="5" t="s">
        <v>360</v>
      </c>
      <c r="I20" s="5" t="s">
        <v>351</v>
      </c>
    </row>
    <row r="21" spans="1:9">
      <c r="A21" s="5" t="s">
        <v>331</v>
      </c>
      <c r="E21" s="5" t="s">
        <v>361</v>
      </c>
      <c r="I21" s="5" t="s">
        <v>352</v>
      </c>
    </row>
    <row r="22" spans="1:9">
      <c r="A22" s="5" t="s">
        <v>332</v>
      </c>
      <c r="E22" s="5" t="s">
        <v>4915</v>
      </c>
      <c r="I22" s="5" t="s">
        <v>353</v>
      </c>
    </row>
    <row r="23" spans="1:9">
      <c r="A23" s="5" t="s">
        <v>333</v>
      </c>
      <c r="E23" s="5" t="s">
        <v>4916</v>
      </c>
      <c r="I23" s="5" t="s">
        <v>354</v>
      </c>
    </row>
    <row r="24" spans="1:9">
      <c r="A24" s="5" t="s">
        <v>334</v>
      </c>
      <c r="E24" s="5" t="s">
        <v>4917</v>
      </c>
      <c r="I24" s="5" t="s">
        <v>355</v>
      </c>
    </row>
    <row r="25" spans="1:9">
      <c r="A25" s="5" t="s">
        <v>335</v>
      </c>
      <c r="E25" s="5" t="s">
        <v>4918</v>
      </c>
      <c r="I25" s="5" t="s">
        <v>356</v>
      </c>
    </row>
    <row r="26" spans="1:9">
      <c r="A26" s="5" t="s">
        <v>336</v>
      </c>
      <c r="E26" s="5" t="s">
        <v>4919</v>
      </c>
      <c r="I26" s="5" t="s">
        <v>357</v>
      </c>
    </row>
    <row r="27" spans="1:9">
      <c r="A27" s="5" t="s">
        <v>337</v>
      </c>
      <c r="E27" s="5" t="s">
        <v>4920</v>
      </c>
      <c r="I27" s="5" t="s">
        <v>358</v>
      </c>
    </row>
    <row r="28" spans="1:9">
      <c r="A28" s="5" t="s">
        <v>338</v>
      </c>
      <c r="E28" s="5" t="s">
        <v>4921</v>
      </c>
      <c r="I28" s="5" t="s">
        <v>4912</v>
      </c>
    </row>
    <row r="29" spans="1:9">
      <c r="A29" s="5" t="s">
        <v>339</v>
      </c>
      <c r="E29" s="5" t="s">
        <v>4922</v>
      </c>
      <c r="I29" s="5" t="s">
        <v>4913</v>
      </c>
    </row>
    <row r="30" spans="1:9">
      <c r="A30" s="5" t="s">
        <v>340</v>
      </c>
      <c r="E30" s="5" t="s">
        <v>4923</v>
      </c>
    </row>
    <row r="31" spans="1:9">
      <c r="A31" s="5" t="s">
        <v>341</v>
      </c>
      <c r="E31" s="5" t="s">
        <v>4924</v>
      </c>
    </row>
    <row r="32" spans="1:9">
      <c r="A32" s="5" t="s">
        <v>342</v>
      </c>
      <c r="E32" s="5" t="s">
        <v>4925</v>
      </c>
    </row>
    <row r="33" spans="1:9">
      <c r="A33" s="5" t="s">
        <v>343</v>
      </c>
      <c r="E33" s="5" t="s">
        <v>4926</v>
      </c>
    </row>
    <row r="34" spans="1:9">
      <c r="A34" s="5" t="s">
        <v>344</v>
      </c>
      <c r="E34" s="5" t="s">
        <v>4927</v>
      </c>
    </row>
    <row r="35" spans="1:9">
      <c r="A35" s="5" t="s">
        <v>345</v>
      </c>
      <c r="E35" s="5" t="s">
        <v>4928</v>
      </c>
    </row>
    <row r="36" spans="1:9">
      <c r="A36" s="5" t="s">
        <v>346</v>
      </c>
      <c r="E36" s="5" t="s">
        <v>376</v>
      </c>
    </row>
    <row r="37" spans="1:9">
      <c r="A37" s="5" t="s">
        <v>347</v>
      </c>
      <c r="E37" s="5" t="s">
        <v>377</v>
      </c>
    </row>
    <row r="38" spans="1:9">
      <c r="A38" s="5" t="s">
        <v>348</v>
      </c>
      <c r="E38" s="5" t="s">
        <v>4929</v>
      </c>
    </row>
    <row r="39" spans="1:9">
      <c r="A39" s="5" t="s">
        <v>349</v>
      </c>
      <c r="E39" s="5" t="s">
        <v>379</v>
      </c>
    </row>
    <row r="41" spans="1:9">
      <c r="A41" s="3" t="s">
        <v>4930</v>
      </c>
      <c r="E41" s="3" t="s">
        <v>4937</v>
      </c>
      <c r="I41" s="3" t="s">
        <v>4944</v>
      </c>
    </row>
    <row r="42" spans="1:9">
      <c r="A42" s="5" t="s">
        <v>4931</v>
      </c>
      <c r="E42" s="5" t="s">
        <v>4938</v>
      </c>
      <c r="I42" s="5" t="s">
        <v>4753</v>
      </c>
    </row>
    <row r="43" spans="1:9">
      <c r="A43" s="5" t="s">
        <v>4932</v>
      </c>
      <c r="E43" s="5" t="s">
        <v>4939</v>
      </c>
      <c r="I43" s="5" t="s">
        <v>4754</v>
      </c>
    </row>
    <row r="44" spans="1:9">
      <c r="A44" s="5" t="s">
        <v>4933</v>
      </c>
      <c r="E44" s="5" t="s">
        <v>4940</v>
      </c>
      <c r="I44" s="5" t="s">
        <v>4945</v>
      </c>
    </row>
    <row r="45" spans="1:9">
      <c r="A45" s="5" t="s">
        <v>4934</v>
      </c>
      <c r="E45" s="5" t="s">
        <v>4941</v>
      </c>
      <c r="I45" s="5" t="s">
        <v>4756</v>
      </c>
    </row>
    <row r="46" spans="1:9">
      <c r="A46" s="5" t="s">
        <v>4935</v>
      </c>
      <c r="E46" s="5" t="s">
        <v>4942</v>
      </c>
      <c r="I46" s="5" t="s">
        <v>4757</v>
      </c>
    </row>
    <row r="47" spans="1:9">
      <c r="A47" s="5" t="s">
        <v>4936</v>
      </c>
      <c r="E47" s="5" t="s">
        <v>4943</v>
      </c>
      <c r="I47" s="5" t="s">
        <v>4946</v>
      </c>
    </row>
    <row r="48" spans="1:9">
      <c r="A48" s="5"/>
      <c r="I48" s="5" t="s">
        <v>4947</v>
      </c>
    </row>
    <row r="49" spans="1:9">
      <c r="I49" s="5" t="s">
        <v>4948</v>
      </c>
    </row>
    <row r="50" spans="1:9">
      <c r="I50" s="5" t="s">
        <v>4949</v>
      </c>
    </row>
    <row r="51" spans="1:9">
      <c r="I51" s="5" t="s">
        <v>4950</v>
      </c>
    </row>
    <row r="52" spans="1:9">
      <c r="I52" s="5" t="s">
        <v>4951</v>
      </c>
    </row>
    <row r="53" spans="1:9">
      <c r="I53" s="5" t="s">
        <v>4952</v>
      </c>
    </row>
    <row r="55" spans="1:9">
      <c r="A55" s="3" t="s">
        <v>4953</v>
      </c>
    </row>
    <row r="56" spans="1:9">
      <c r="A56" s="5" t="s">
        <v>4954</v>
      </c>
    </row>
    <row r="57" spans="1:9">
      <c r="A57" s="5" t="s">
        <v>4955</v>
      </c>
    </row>
    <row r="58" spans="1:9">
      <c r="A58" s="5" t="s">
        <v>4956</v>
      </c>
    </row>
    <row r="59" spans="1:9">
      <c r="A59" s="5" t="s">
        <v>4957</v>
      </c>
    </row>
    <row r="60" spans="1:9">
      <c r="A60" s="5" t="s">
        <v>4958</v>
      </c>
    </row>
    <row r="61" spans="1:9">
      <c r="A61" s="5" t="s">
        <v>4959</v>
      </c>
    </row>
    <row r="62" spans="1:9">
      <c r="A62" s="5" t="s">
        <v>4960</v>
      </c>
    </row>
    <row r="63" spans="1:9">
      <c r="A63" s="5" t="s">
        <v>4961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39511-FD0D-4033-A2D4-66C8A6F52620}">
  <sheetPr codeName="Лист35">
    <tabColor rgb="FFFFFF00"/>
  </sheetPr>
  <dimension ref="A1:I62"/>
  <sheetViews>
    <sheetView workbookViewId="0">
      <selection activeCell="P65" sqref="P65"/>
    </sheetView>
  </sheetViews>
  <sheetFormatPr defaultRowHeight="15"/>
  <cols>
    <col min="1" max="16384" width="9.140625" style="6"/>
  </cols>
  <sheetData>
    <row r="1" spans="1:9" ht="18.75">
      <c r="A1" s="4" t="s">
        <v>1756</v>
      </c>
    </row>
    <row r="2" spans="1:9">
      <c r="A2" s="14" t="s">
        <v>1317</v>
      </c>
    </row>
    <row r="3" spans="1:9">
      <c r="A3" s="14"/>
    </row>
    <row r="4" spans="1:9">
      <c r="A4" s="3" t="s">
        <v>1757</v>
      </c>
      <c r="E4" s="3" t="s">
        <v>1790</v>
      </c>
      <c r="I4" s="3" t="s">
        <v>1769</v>
      </c>
    </row>
    <row r="5" spans="1:9">
      <c r="A5" s="5" t="s">
        <v>1176</v>
      </c>
      <c r="E5" s="5" t="s">
        <v>1791</v>
      </c>
      <c r="I5" s="5" t="s">
        <v>1770</v>
      </c>
    </row>
    <row r="6" spans="1:9">
      <c r="A6" s="5" t="s">
        <v>1758</v>
      </c>
      <c r="E6" s="5" t="s">
        <v>1383</v>
      </c>
      <c r="I6" s="5" t="s">
        <v>1771</v>
      </c>
    </row>
    <row r="7" spans="1:9">
      <c r="A7" s="5" t="s">
        <v>1759</v>
      </c>
      <c r="E7" s="5" t="s">
        <v>1384</v>
      </c>
      <c r="I7" s="5" t="s">
        <v>1772</v>
      </c>
    </row>
    <row r="8" spans="1:9">
      <c r="A8" s="5" t="s">
        <v>1760</v>
      </c>
      <c r="E8" s="5" t="s">
        <v>1385</v>
      </c>
      <c r="I8" s="5" t="s">
        <v>1773</v>
      </c>
    </row>
    <row r="9" spans="1:9">
      <c r="A9" s="5" t="s">
        <v>1761</v>
      </c>
      <c r="E9" s="5" t="s">
        <v>1222</v>
      </c>
      <c r="I9" s="5" t="s">
        <v>1774</v>
      </c>
    </row>
    <row r="10" spans="1:9">
      <c r="A10" s="5" t="s">
        <v>1762</v>
      </c>
      <c r="E10" s="5" t="s">
        <v>1223</v>
      </c>
      <c r="I10" s="5" t="s">
        <v>1775</v>
      </c>
    </row>
    <row r="11" spans="1:9">
      <c r="A11" s="5" t="s">
        <v>1763</v>
      </c>
      <c r="E11" s="5" t="s">
        <v>1792</v>
      </c>
      <c r="I11" s="5" t="s">
        <v>1776</v>
      </c>
    </row>
    <row r="12" spans="1:9">
      <c r="A12" s="5" t="s">
        <v>1764</v>
      </c>
      <c r="E12" s="5" t="s">
        <v>1793</v>
      </c>
      <c r="I12" s="5" t="s">
        <v>1777</v>
      </c>
    </row>
    <row r="13" spans="1:9">
      <c r="A13" s="5" t="s">
        <v>1765</v>
      </c>
      <c r="E13" s="5" t="s">
        <v>1794</v>
      </c>
      <c r="I13" s="5" t="s">
        <v>1778</v>
      </c>
    </row>
    <row r="14" spans="1:9">
      <c r="A14" s="5" t="s">
        <v>1766</v>
      </c>
      <c r="E14" s="5" t="s">
        <v>1795</v>
      </c>
      <c r="I14" s="5" t="s">
        <v>1779</v>
      </c>
    </row>
    <row r="15" spans="1:9">
      <c r="A15" s="5" t="s">
        <v>1767</v>
      </c>
      <c r="E15" s="5" t="s">
        <v>1796</v>
      </c>
      <c r="I15" s="5" t="s">
        <v>1780</v>
      </c>
    </row>
    <row r="16" spans="1:9">
      <c r="A16" s="5" t="s">
        <v>1768</v>
      </c>
      <c r="E16" s="5" t="s">
        <v>1797</v>
      </c>
      <c r="I16" s="5" t="s">
        <v>1781</v>
      </c>
    </row>
    <row r="17" spans="1:9">
      <c r="I17" s="5" t="s">
        <v>1782</v>
      </c>
    </row>
    <row r="18" spans="1:9">
      <c r="I18" s="5" t="s">
        <v>1783</v>
      </c>
    </row>
    <row r="19" spans="1:9">
      <c r="I19" s="5" t="s">
        <v>1784</v>
      </c>
    </row>
    <row r="20" spans="1:9">
      <c r="I20" s="5" t="s">
        <v>1785</v>
      </c>
    </row>
    <row r="21" spans="1:9">
      <c r="I21" s="5" t="s">
        <v>1786</v>
      </c>
    </row>
    <row r="22" spans="1:9">
      <c r="I22" s="5" t="s">
        <v>1787</v>
      </c>
    </row>
    <row r="23" spans="1:9">
      <c r="I23" s="5" t="s">
        <v>1788</v>
      </c>
    </row>
    <row r="24" spans="1:9">
      <c r="I24" s="5" t="s">
        <v>1789</v>
      </c>
    </row>
    <row r="26" spans="1:9">
      <c r="A26" s="3" t="s">
        <v>1798</v>
      </c>
      <c r="E26" s="3" t="s">
        <v>1805</v>
      </c>
      <c r="I26" s="3" t="s">
        <v>1812</v>
      </c>
    </row>
    <row r="27" spans="1:9">
      <c r="A27" s="5" t="s">
        <v>1799</v>
      </c>
      <c r="E27" s="5" t="s">
        <v>1806</v>
      </c>
      <c r="I27" s="5" t="s">
        <v>1189</v>
      </c>
    </row>
    <row r="28" spans="1:9">
      <c r="A28" s="5" t="s">
        <v>1800</v>
      </c>
      <c r="E28" s="5" t="s">
        <v>1807</v>
      </c>
      <c r="I28" s="5" t="s">
        <v>1190</v>
      </c>
    </row>
    <row r="29" spans="1:9">
      <c r="A29" s="5" t="s">
        <v>1801</v>
      </c>
      <c r="E29" s="5" t="s">
        <v>1808</v>
      </c>
      <c r="I29" s="5" t="s">
        <v>1191</v>
      </c>
    </row>
    <row r="30" spans="1:9">
      <c r="A30" s="5" t="s">
        <v>1802</v>
      </c>
      <c r="E30" s="5" t="s">
        <v>1809</v>
      </c>
      <c r="I30" s="5" t="s">
        <v>1192</v>
      </c>
    </row>
    <row r="31" spans="1:9">
      <c r="A31" s="5" t="s">
        <v>1803</v>
      </c>
      <c r="E31" s="5" t="s">
        <v>1810</v>
      </c>
      <c r="I31" s="5" t="s">
        <v>1361</v>
      </c>
    </row>
    <row r="32" spans="1:9">
      <c r="A32" s="5" t="s">
        <v>1804</v>
      </c>
      <c r="E32" s="5" t="s">
        <v>1811</v>
      </c>
      <c r="I32" s="5" t="s">
        <v>1194</v>
      </c>
    </row>
    <row r="33" spans="1:9">
      <c r="I33" s="5" t="s">
        <v>1195</v>
      </c>
    </row>
    <row r="34" spans="1:9">
      <c r="I34" s="5" t="s">
        <v>1196</v>
      </c>
    </row>
    <row r="35" spans="1:9">
      <c r="I35" s="5" t="s">
        <v>1197</v>
      </c>
    </row>
    <row r="36" spans="1:9">
      <c r="I36" s="5" t="s">
        <v>1198</v>
      </c>
    </row>
    <row r="37" spans="1:9">
      <c r="I37" s="5" t="s">
        <v>1813</v>
      </c>
    </row>
    <row r="38" spans="1:9">
      <c r="I38" s="5" t="s">
        <v>1814</v>
      </c>
    </row>
    <row r="40" spans="1:9">
      <c r="A40" s="3" t="s">
        <v>1815</v>
      </c>
      <c r="E40" s="3" t="s">
        <v>1822</v>
      </c>
      <c r="I40" s="3" t="s">
        <v>1831</v>
      </c>
    </row>
    <row r="41" spans="1:9">
      <c r="A41" s="5" t="s">
        <v>1816</v>
      </c>
      <c r="E41" s="5" t="s">
        <v>1823</v>
      </c>
      <c r="I41" s="5" t="s">
        <v>1832</v>
      </c>
    </row>
    <row r="42" spans="1:9">
      <c r="A42" s="5" t="s">
        <v>1817</v>
      </c>
      <c r="E42" s="5" t="s">
        <v>1824</v>
      </c>
      <c r="I42" s="5" t="s">
        <v>1833</v>
      </c>
    </row>
    <row r="43" spans="1:9">
      <c r="A43" s="5" t="s">
        <v>1818</v>
      </c>
      <c r="E43" s="5" t="s">
        <v>1825</v>
      </c>
      <c r="I43" s="5" t="s">
        <v>1834</v>
      </c>
    </row>
    <row r="44" spans="1:9">
      <c r="A44" s="5" t="s">
        <v>1819</v>
      </c>
      <c r="E44" s="5" t="s">
        <v>1826</v>
      </c>
      <c r="I44" s="5" t="s">
        <v>1835</v>
      </c>
    </row>
    <row r="45" spans="1:9">
      <c r="A45" s="5" t="s">
        <v>1820</v>
      </c>
      <c r="E45" s="5" t="s">
        <v>1827</v>
      </c>
      <c r="I45" s="5" t="s">
        <v>1836</v>
      </c>
    </row>
    <row r="46" spans="1:9">
      <c r="A46" s="5" t="s">
        <v>1821</v>
      </c>
      <c r="E46" s="5" t="s">
        <v>1828</v>
      </c>
      <c r="I46" s="5" t="s">
        <v>1837</v>
      </c>
    </row>
    <row r="47" spans="1:9">
      <c r="E47" s="5" t="s">
        <v>1829</v>
      </c>
      <c r="I47" s="5" t="s">
        <v>1838</v>
      </c>
    </row>
    <row r="48" spans="1:9">
      <c r="E48" s="5" t="s">
        <v>1830</v>
      </c>
      <c r="I48" s="5" t="s">
        <v>1839</v>
      </c>
    </row>
    <row r="50" spans="1:9">
      <c r="A50" s="3" t="s">
        <v>1840</v>
      </c>
      <c r="E50" s="3" t="s">
        <v>1849</v>
      </c>
      <c r="I50" s="3" t="s">
        <v>1853</v>
      </c>
    </row>
    <row r="51" spans="1:9">
      <c r="A51" s="5" t="s">
        <v>1841</v>
      </c>
      <c r="E51" s="5" t="s">
        <v>1850</v>
      </c>
      <c r="I51" s="5" t="s">
        <v>1406</v>
      </c>
    </row>
    <row r="52" spans="1:9">
      <c r="A52" s="5" t="s">
        <v>1842</v>
      </c>
      <c r="E52" s="5" t="s">
        <v>1396</v>
      </c>
      <c r="I52" s="5" t="s">
        <v>1854</v>
      </c>
    </row>
    <row r="53" spans="1:9">
      <c r="A53" s="5" t="s">
        <v>1843</v>
      </c>
      <c r="E53" s="5" t="s">
        <v>1397</v>
      </c>
      <c r="I53" s="5" t="s">
        <v>1408</v>
      </c>
    </row>
    <row r="54" spans="1:9">
      <c r="A54" s="5" t="s">
        <v>1844</v>
      </c>
      <c r="E54" s="5" t="s">
        <v>1232</v>
      </c>
      <c r="I54" s="5" t="s">
        <v>1855</v>
      </c>
    </row>
    <row r="55" spans="1:9">
      <c r="A55" s="5" t="s">
        <v>1845</v>
      </c>
      <c r="E55" s="5" t="s">
        <v>1233</v>
      </c>
      <c r="I55" s="5" t="s">
        <v>1410</v>
      </c>
    </row>
    <row r="56" spans="1:9">
      <c r="A56" s="5" t="s">
        <v>1846</v>
      </c>
      <c r="E56" s="5" t="s">
        <v>1398</v>
      </c>
      <c r="I56" s="5" t="s">
        <v>1411</v>
      </c>
    </row>
    <row r="57" spans="1:9">
      <c r="A57" s="5" t="s">
        <v>1847</v>
      </c>
      <c r="E57" s="5" t="s">
        <v>1399</v>
      </c>
      <c r="I57" s="5" t="s">
        <v>1412</v>
      </c>
    </row>
    <row r="58" spans="1:9">
      <c r="A58" s="5" t="s">
        <v>1848</v>
      </c>
      <c r="E58" s="5" t="s">
        <v>1400</v>
      </c>
      <c r="I58" s="5" t="s">
        <v>1856</v>
      </c>
    </row>
    <row r="59" spans="1:9">
      <c r="E59" s="5" t="s">
        <v>1401</v>
      </c>
      <c r="I59" s="5" t="s">
        <v>1857</v>
      </c>
    </row>
    <row r="60" spans="1:9">
      <c r="E60" s="5" t="s">
        <v>1402</v>
      </c>
      <c r="I60" s="5" t="s">
        <v>1858</v>
      </c>
    </row>
    <row r="61" spans="1:9">
      <c r="E61" s="5" t="s">
        <v>1851</v>
      </c>
      <c r="I61" s="5" t="s">
        <v>1859</v>
      </c>
    </row>
    <row r="62" spans="1:9">
      <c r="E62" s="5" t="s">
        <v>1852</v>
      </c>
      <c r="I62" s="5" t="s">
        <v>1860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D0319-F8F8-4702-BE10-D6D6C137B479}">
  <sheetPr codeName="Лист37">
    <tabColor rgb="FFFFFF00"/>
  </sheetPr>
  <dimension ref="A1:I72"/>
  <sheetViews>
    <sheetView workbookViewId="0">
      <selection activeCell="N68" sqref="N68"/>
    </sheetView>
  </sheetViews>
  <sheetFormatPr defaultRowHeight="15"/>
  <cols>
    <col min="1" max="16384" width="9.140625" style="6"/>
  </cols>
  <sheetData>
    <row r="1" spans="1:9" ht="18.75">
      <c r="A1" s="4" t="s">
        <v>5349</v>
      </c>
    </row>
    <row r="2" spans="1:9">
      <c r="A2" s="14" t="s">
        <v>629</v>
      </c>
    </row>
    <row r="3" spans="1:9">
      <c r="A3" s="14"/>
    </row>
    <row r="4" spans="1:9">
      <c r="A4" s="3" t="s">
        <v>5350</v>
      </c>
      <c r="E4" s="3" t="s">
        <v>5362</v>
      </c>
      <c r="I4" s="3" t="s">
        <v>5374</v>
      </c>
    </row>
    <row r="5" spans="1:9">
      <c r="A5" s="5" t="s">
        <v>5351</v>
      </c>
      <c r="E5" s="5" t="s">
        <v>5363</v>
      </c>
      <c r="I5" s="5" t="s">
        <v>5375</v>
      </c>
    </row>
    <row r="6" spans="1:9">
      <c r="A6" s="5" t="s">
        <v>5352</v>
      </c>
      <c r="E6" s="5" t="s">
        <v>5364</v>
      </c>
      <c r="I6" s="5" t="s">
        <v>5376</v>
      </c>
    </row>
    <row r="7" spans="1:9">
      <c r="A7" s="5" t="s">
        <v>5353</v>
      </c>
      <c r="E7" s="5" t="s">
        <v>5365</v>
      </c>
      <c r="I7" s="5" t="s">
        <v>5377</v>
      </c>
    </row>
    <row r="8" spans="1:9">
      <c r="A8" s="5" t="s">
        <v>5354</v>
      </c>
      <c r="E8" s="5" t="s">
        <v>5366</v>
      </c>
      <c r="I8" s="5" t="s">
        <v>5378</v>
      </c>
    </row>
    <row r="9" spans="1:9">
      <c r="A9" s="5" t="s">
        <v>5355</v>
      </c>
      <c r="E9" s="5" t="s">
        <v>5367</v>
      </c>
      <c r="I9" s="5" t="s">
        <v>5379</v>
      </c>
    </row>
    <row r="10" spans="1:9">
      <c r="A10" s="5" t="s">
        <v>5356</v>
      </c>
      <c r="E10" s="5" t="s">
        <v>5368</v>
      </c>
      <c r="I10" s="5" t="s">
        <v>1256</v>
      </c>
    </row>
    <row r="11" spans="1:9">
      <c r="A11" s="5" t="s">
        <v>5357</v>
      </c>
      <c r="E11" s="5" t="s">
        <v>5369</v>
      </c>
      <c r="I11" s="5" t="s">
        <v>5380</v>
      </c>
    </row>
    <row r="12" spans="1:9">
      <c r="A12" s="5" t="s">
        <v>3079</v>
      </c>
      <c r="E12" s="5" t="s">
        <v>5370</v>
      </c>
      <c r="I12" s="5" t="s">
        <v>5381</v>
      </c>
    </row>
    <row r="13" spans="1:9">
      <c r="A13" s="5" t="s">
        <v>5358</v>
      </c>
      <c r="E13" s="5" t="s">
        <v>5371</v>
      </c>
      <c r="I13" s="5" t="s">
        <v>5382</v>
      </c>
    </row>
    <row r="14" spans="1:9">
      <c r="A14" s="5" t="s">
        <v>5359</v>
      </c>
      <c r="E14" s="5" t="s">
        <v>5372</v>
      </c>
      <c r="I14" s="5" t="s">
        <v>5383</v>
      </c>
    </row>
    <row r="15" spans="1:9">
      <c r="A15" s="5" t="s">
        <v>5360</v>
      </c>
      <c r="E15" s="5" t="s">
        <v>5373</v>
      </c>
      <c r="I15" s="5" t="s">
        <v>5384</v>
      </c>
    </row>
    <row r="16" spans="1:9">
      <c r="A16" s="5" t="s">
        <v>5361</v>
      </c>
      <c r="E16" s="5" t="s">
        <v>3068</v>
      </c>
      <c r="I16" s="5" t="s">
        <v>5385</v>
      </c>
    </row>
    <row r="18" spans="1:9">
      <c r="A18" s="3" t="s">
        <v>5386</v>
      </c>
      <c r="E18" s="3" t="s">
        <v>5407</v>
      </c>
      <c r="I18" s="3" t="s">
        <v>5414</v>
      </c>
    </row>
    <row r="19" spans="1:9">
      <c r="A19" s="5" t="s">
        <v>5387</v>
      </c>
      <c r="E19" s="5" t="s">
        <v>5408</v>
      </c>
      <c r="I19" s="5" t="s">
        <v>5415</v>
      </c>
    </row>
    <row r="20" spans="1:9">
      <c r="A20" s="5" t="s">
        <v>5388</v>
      </c>
      <c r="E20" s="5" t="s">
        <v>5409</v>
      </c>
      <c r="I20" s="5" t="s">
        <v>5416</v>
      </c>
    </row>
    <row r="21" spans="1:9">
      <c r="A21" s="5" t="s">
        <v>5389</v>
      </c>
      <c r="E21" s="5" t="s">
        <v>5410</v>
      </c>
      <c r="I21" s="5" t="s">
        <v>5417</v>
      </c>
    </row>
    <row r="22" spans="1:9">
      <c r="A22" s="5" t="s">
        <v>5390</v>
      </c>
      <c r="E22" s="5" t="s">
        <v>5411</v>
      </c>
      <c r="I22" s="5" t="s">
        <v>5418</v>
      </c>
    </row>
    <row r="23" spans="1:9">
      <c r="A23" s="5" t="s">
        <v>5391</v>
      </c>
      <c r="E23" s="5" t="s">
        <v>5412</v>
      </c>
      <c r="I23" s="5" t="s">
        <v>5419</v>
      </c>
    </row>
    <row r="24" spans="1:9">
      <c r="A24" s="5" t="s">
        <v>5392</v>
      </c>
      <c r="E24" s="5" t="s">
        <v>5413</v>
      </c>
      <c r="I24" s="5" t="s">
        <v>5420</v>
      </c>
    </row>
    <row r="25" spans="1:9">
      <c r="A25" s="5" t="s">
        <v>5393</v>
      </c>
      <c r="I25" s="5" t="s">
        <v>5421</v>
      </c>
    </row>
    <row r="26" spans="1:9">
      <c r="A26" s="5" t="s">
        <v>5394</v>
      </c>
      <c r="I26" s="5" t="s">
        <v>5422</v>
      </c>
    </row>
    <row r="27" spans="1:9">
      <c r="A27" s="5" t="s">
        <v>5395</v>
      </c>
      <c r="I27" s="5" t="s">
        <v>5423</v>
      </c>
    </row>
    <row r="28" spans="1:9">
      <c r="A28" s="5" t="s">
        <v>5396</v>
      </c>
      <c r="I28" s="5" t="s">
        <v>5424</v>
      </c>
    </row>
    <row r="29" spans="1:9">
      <c r="A29" s="5" t="s">
        <v>5397</v>
      </c>
    </row>
    <row r="30" spans="1:9">
      <c r="A30" s="5" t="s">
        <v>5398</v>
      </c>
    </row>
    <row r="31" spans="1:9">
      <c r="A31" s="5" t="s">
        <v>5399</v>
      </c>
    </row>
    <row r="32" spans="1:9">
      <c r="A32" s="5" t="s">
        <v>5400</v>
      </c>
    </row>
    <row r="33" spans="1:9">
      <c r="A33" s="5" t="s">
        <v>5401</v>
      </c>
    </row>
    <row r="34" spans="1:9">
      <c r="A34" s="5" t="s">
        <v>5402</v>
      </c>
    </row>
    <row r="35" spans="1:9">
      <c r="A35" s="5" t="s">
        <v>5403</v>
      </c>
    </row>
    <row r="36" spans="1:9">
      <c r="A36" s="5" t="s">
        <v>5404</v>
      </c>
    </row>
    <row r="37" spans="1:9">
      <c r="A37" s="5" t="s">
        <v>5405</v>
      </c>
    </row>
    <row r="38" spans="1:9">
      <c r="A38" s="5" t="s">
        <v>5406</v>
      </c>
    </row>
    <row r="40" spans="1:9">
      <c r="A40" s="3" t="s">
        <v>5425</v>
      </c>
      <c r="E40" s="3" t="s">
        <v>5436</v>
      </c>
      <c r="I40" s="3" t="s">
        <v>5445</v>
      </c>
    </row>
    <row r="41" spans="1:9">
      <c r="A41" s="5" t="s">
        <v>5426</v>
      </c>
      <c r="E41" s="5" t="s">
        <v>5437</v>
      </c>
      <c r="I41" s="5" t="s">
        <v>1799</v>
      </c>
    </row>
    <row r="42" spans="1:9">
      <c r="A42" s="5" t="s">
        <v>5427</v>
      </c>
      <c r="E42" s="5" t="s">
        <v>5438</v>
      </c>
      <c r="I42" s="5" t="s">
        <v>5446</v>
      </c>
    </row>
    <row r="43" spans="1:9">
      <c r="A43" s="5" t="s">
        <v>5428</v>
      </c>
      <c r="E43" s="5" t="s">
        <v>5439</v>
      </c>
      <c r="I43" s="5" t="s">
        <v>5447</v>
      </c>
    </row>
    <row r="44" spans="1:9">
      <c r="A44" s="5" t="s">
        <v>5429</v>
      </c>
      <c r="E44" s="5" t="s">
        <v>5440</v>
      </c>
      <c r="I44" s="5" t="s">
        <v>5448</v>
      </c>
    </row>
    <row r="45" spans="1:9">
      <c r="A45" s="5" t="s">
        <v>5430</v>
      </c>
      <c r="E45" s="5" t="s">
        <v>5441</v>
      </c>
      <c r="I45" s="5" t="s">
        <v>5449</v>
      </c>
    </row>
    <row r="46" spans="1:9">
      <c r="A46" s="5" t="s">
        <v>5431</v>
      </c>
      <c r="E46" s="5" t="s">
        <v>5442</v>
      </c>
      <c r="I46" s="5" t="s">
        <v>5450</v>
      </c>
    </row>
    <row r="47" spans="1:9">
      <c r="A47" s="5" t="s">
        <v>5432</v>
      </c>
      <c r="E47" s="5" t="s">
        <v>5443</v>
      </c>
    </row>
    <row r="48" spans="1:9">
      <c r="A48" s="5" t="s">
        <v>5433</v>
      </c>
      <c r="E48" s="5" t="s">
        <v>5444</v>
      </c>
    </row>
    <row r="49" spans="1:9">
      <c r="A49" s="5" t="s">
        <v>5434</v>
      </c>
    </row>
    <row r="50" spans="1:9">
      <c r="A50" s="5" t="s">
        <v>5435</v>
      </c>
    </row>
    <row r="52" spans="1:9">
      <c r="A52" s="3" t="s">
        <v>5451</v>
      </c>
      <c r="E52" s="3" t="s">
        <v>5458</v>
      </c>
      <c r="I52" s="3" t="s">
        <v>5470</v>
      </c>
    </row>
    <row r="53" spans="1:9">
      <c r="A53" s="5" t="s">
        <v>1319</v>
      </c>
      <c r="E53" s="5" t="s">
        <v>5459</v>
      </c>
      <c r="I53" s="5" t="s">
        <v>1406</v>
      </c>
    </row>
    <row r="54" spans="1:9">
      <c r="A54" s="5" t="s">
        <v>5452</v>
      </c>
      <c r="E54" s="5" t="s">
        <v>1396</v>
      </c>
      <c r="I54" s="5" t="s">
        <v>5471</v>
      </c>
    </row>
    <row r="55" spans="1:9">
      <c r="A55" s="5" t="s">
        <v>5453</v>
      </c>
      <c r="E55" s="5" t="s">
        <v>1397</v>
      </c>
      <c r="I55" s="5" t="s">
        <v>1408</v>
      </c>
    </row>
    <row r="56" spans="1:9">
      <c r="A56" s="5" t="s">
        <v>5454</v>
      </c>
      <c r="E56" s="5" t="s">
        <v>5460</v>
      </c>
      <c r="I56" s="5" t="s">
        <v>1409</v>
      </c>
    </row>
    <row r="57" spans="1:9">
      <c r="A57" s="5" t="s">
        <v>1323</v>
      </c>
      <c r="E57" s="5" t="s">
        <v>1233</v>
      </c>
      <c r="I57" s="5" t="s">
        <v>1410</v>
      </c>
    </row>
    <row r="58" spans="1:9">
      <c r="A58" s="5" t="s">
        <v>5455</v>
      </c>
      <c r="E58" s="5" t="s">
        <v>1398</v>
      </c>
      <c r="I58" s="5" t="s">
        <v>1411</v>
      </c>
    </row>
    <row r="59" spans="1:9">
      <c r="A59" s="5" t="s">
        <v>5456</v>
      </c>
      <c r="E59" s="5" t="s">
        <v>1399</v>
      </c>
      <c r="I59" s="5" t="s">
        <v>5472</v>
      </c>
    </row>
    <row r="60" spans="1:9">
      <c r="A60" s="5" t="s">
        <v>5457</v>
      </c>
      <c r="E60" s="5" t="s">
        <v>5461</v>
      </c>
      <c r="I60" s="5" t="s">
        <v>5473</v>
      </c>
    </row>
    <row r="61" spans="1:9">
      <c r="E61" s="5" t="s">
        <v>1401</v>
      </c>
      <c r="I61" s="5" t="s">
        <v>5474</v>
      </c>
    </row>
    <row r="62" spans="1:9">
      <c r="E62" s="5" t="s">
        <v>1402</v>
      </c>
      <c r="I62" s="5" t="s">
        <v>1415</v>
      </c>
    </row>
    <row r="63" spans="1:9">
      <c r="E63" s="5" t="s">
        <v>1403</v>
      </c>
      <c r="I63" s="5" t="s">
        <v>1416</v>
      </c>
    </row>
    <row r="64" spans="1:9">
      <c r="E64" s="5" t="s">
        <v>1404</v>
      </c>
      <c r="I64" s="5" t="s">
        <v>1417</v>
      </c>
    </row>
    <row r="65" spans="5:9">
      <c r="E65" s="5" t="s">
        <v>5462</v>
      </c>
      <c r="I65" s="5" t="s">
        <v>5475</v>
      </c>
    </row>
    <row r="66" spans="5:9">
      <c r="E66" s="5" t="s">
        <v>5463</v>
      </c>
      <c r="I66" s="5" t="s">
        <v>5476</v>
      </c>
    </row>
    <row r="67" spans="5:9">
      <c r="E67" s="5" t="s">
        <v>5464</v>
      </c>
      <c r="I67" s="5" t="s">
        <v>5477</v>
      </c>
    </row>
    <row r="68" spans="5:9">
      <c r="E68" s="5" t="s">
        <v>5465</v>
      </c>
      <c r="I68" s="5" t="s">
        <v>5478</v>
      </c>
    </row>
    <row r="69" spans="5:9">
      <c r="E69" s="5" t="s">
        <v>5466</v>
      </c>
      <c r="I69" s="5" t="s">
        <v>5479</v>
      </c>
    </row>
    <row r="70" spans="5:9">
      <c r="E70" s="5" t="s">
        <v>5467</v>
      </c>
      <c r="I70" s="5" t="s">
        <v>5480</v>
      </c>
    </row>
    <row r="71" spans="5:9">
      <c r="E71" s="5" t="s">
        <v>5468</v>
      </c>
      <c r="I71" s="5" t="s">
        <v>5481</v>
      </c>
    </row>
    <row r="72" spans="5:9">
      <c r="E72" s="5" t="s">
        <v>5469</v>
      </c>
      <c r="I72" s="5" t="s">
        <v>5482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5E46C-F758-4E7D-A3D3-5C89B04299E2}">
  <sheetPr codeName="Лист38">
    <tabColor rgb="FFFFFF00"/>
  </sheetPr>
  <dimension ref="A1:E24"/>
  <sheetViews>
    <sheetView workbookViewId="0">
      <selection activeCell="K17" sqref="K17"/>
    </sheetView>
  </sheetViews>
  <sheetFormatPr defaultRowHeight="15"/>
  <cols>
    <col min="1" max="16384" width="9.140625" style="6"/>
  </cols>
  <sheetData>
    <row r="1" spans="1:5" ht="18.75">
      <c r="A1" s="4" t="s">
        <v>5713</v>
      </c>
    </row>
    <row r="2" spans="1:5">
      <c r="A2" s="14" t="s">
        <v>5714</v>
      </c>
    </row>
    <row r="3" spans="1:5">
      <c r="A3" s="14"/>
    </row>
    <row r="4" spans="1:5">
      <c r="A4" s="3" t="s">
        <v>5715</v>
      </c>
      <c r="E4" s="3" t="s">
        <v>5740</v>
      </c>
    </row>
    <row r="5" spans="1:5">
      <c r="A5" s="5" t="s">
        <v>5716</v>
      </c>
      <c r="E5" s="5" t="s">
        <v>5741</v>
      </c>
    </row>
    <row r="6" spans="1:5">
      <c r="A6" s="5" t="s">
        <v>5717</v>
      </c>
      <c r="E6" s="5" t="s">
        <v>5742</v>
      </c>
    </row>
    <row r="7" spans="1:5">
      <c r="A7" s="5" t="s">
        <v>5718</v>
      </c>
      <c r="E7" s="5" t="s">
        <v>5743</v>
      </c>
    </row>
    <row r="8" spans="1:5">
      <c r="A8" s="5" t="s">
        <v>5719</v>
      </c>
      <c r="E8" s="5" t="s">
        <v>5744</v>
      </c>
    </row>
    <row r="9" spans="1:5">
      <c r="A9" s="5" t="s">
        <v>5720</v>
      </c>
      <c r="E9" s="5" t="s">
        <v>5745</v>
      </c>
    </row>
    <row r="10" spans="1:5">
      <c r="A10" s="5" t="s">
        <v>5721</v>
      </c>
      <c r="E10" s="5" t="s">
        <v>5746</v>
      </c>
    </row>
    <row r="11" spans="1:5">
      <c r="A11" s="5" t="s">
        <v>5722</v>
      </c>
      <c r="E11" s="5" t="s">
        <v>5747</v>
      </c>
    </row>
    <row r="12" spans="1:5">
      <c r="A12" s="5" t="s">
        <v>5723</v>
      </c>
      <c r="E12" s="5" t="s">
        <v>5748</v>
      </c>
    </row>
    <row r="13" spans="1:5">
      <c r="A13" s="5" t="s">
        <v>5724</v>
      </c>
      <c r="E13" s="5" t="s">
        <v>5749</v>
      </c>
    </row>
    <row r="14" spans="1:5">
      <c r="A14" s="5" t="s">
        <v>5725</v>
      </c>
      <c r="E14" s="5" t="s">
        <v>5750</v>
      </c>
    </row>
    <row r="15" spans="1:5">
      <c r="A15" s="5"/>
      <c r="E15" s="5" t="s">
        <v>5751</v>
      </c>
    </row>
    <row r="16" spans="1:5">
      <c r="E16" s="5" t="s">
        <v>5752</v>
      </c>
    </row>
    <row r="18" spans="1:5">
      <c r="A18" s="3" t="s">
        <v>5726</v>
      </c>
      <c r="E18" s="3" t="s">
        <v>5733</v>
      </c>
    </row>
    <row r="19" spans="1:5">
      <c r="A19" s="5" t="s">
        <v>5727</v>
      </c>
      <c r="E19" s="5" t="s">
        <v>5734</v>
      </c>
    </row>
    <row r="20" spans="1:5">
      <c r="A20" s="5" t="s">
        <v>5728</v>
      </c>
      <c r="E20" s="5" t="s">
        <v>5735</v>
      </c>
    </row>
    <row r="21" spans="1:5">
      <c r="A21" s="5" t="s">
        <v>5729</v>
      </c>
      <c r="E21" s="5" t="s">
        <v>5736</v>
      </c>
    </row>
    <row r="22" spans="1:5">
      <c r="A22" s="5" t="s">
        <v>5730</v>
      </c>
      <c r="E22" s="5" t="s">
        <v>5737</v>
      </c>
    </row>
    <row r="23" spans="1:5">
      <c r="A23" s="5" t="s">
        <v>5731</v>
      </c>
      <c r="E23" s="5" t="s">
        <v>5738</v>
      </c>
    </row>
    <row r="24" spans="1:5">
      <c r="A24" s="5" t="s">
        <v>5732</v>
      </c>
      <c r="E24" s="5" t="s">
        <v>5739</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62066-E1E8-4437-A297-F2C9D92B589E}">
  <sheetPr codeName="Лист39">
    <tabColor rgb="FFFFFF00"/>
  </sheetPr>
  <dimension ref="A1:I69"/>
  <sheetViews>
    <sheetView topLeftCell="A30" workbookViewId="0">
      <selection activeCell="R58" sqref="R58"/>
    </sheetView>
  </sheetViews>
  <sheetFormatPr defaultRowHeight="15"/>
  <cols>
    <col min="1" max="16384" width="9.140625" style="6"/>
  </cols>
  <sheetData>
    <row r="1" spans="1:9" ht="18.75">
      <c r="A1" s="4" t="s">
        <v>1945</v>
      </c>
    </row>
    <row r="2" spans="1:9" ht="18.75">
      <c r="A2" s="4"/>
    </row>
    <row r="3" spans="1:9">
      <c r="A3" s="3" t="s">
        <v>1946</v>
      </c>
      <c r="E3" s="3" t="s">
        <v>1967</v>
      </c>
    </row>
    <row r="4" spans="1:9">
      <c r="A4" s="5" t="s">
        <v>1947</v>
      </c>
      <c r="E4" s="5" t="s">
        <v>1968</v>
      </c>
    </row>
    <row r="5" spans="1:9">
      <c r="A5" s="5" t="s">
        <v>1948</v>
      </c>
      <c r="E5" s="5" t="s">
        <v>1969</v>
      </c>
    </row>
    <row r="6" spans="1:9">
      <c r="A6" s="5" t="s">
        <v>1949</v>
      </c>
      <c r="E6" s="5" t="s">
        <v>1970</v>
      </c>
    </row>
    <row r="7" spans="1:9">
      <c r="A7" s="5" t="s">
        <v>1950</v>
      </c>
      <c r="E7" s="5" t="s">
        <v>1971</v>
      </c>
    </row>
    <row r="8" spans="1:9">
      <c r="A8" s="5" t="s">
        <v>1951</v>
      </c>
      <c r="E8" s="5" t="s">
        <v>1972</v>
      </c>
    </row>
    <row r="9" spans="1:9">
      <c r="A9" s="5" t="s">
        <v>1952</v>
      </c>
      <c r="E9" s="5" t="s">
        <v>1973</v>
      </c>
    </row>
    <row r="10" spans="1:9">
      <c r="A10" s="5" t="s">
        <v>1953</v>
      </c>
      <c r="E10" s="5" t="s">
        <v>1974</v>
      </c>
    </row>
    <row r="11" spans="1:9">
      <c r="A11" s="5" t="s">
        <v>1954</v>
      </c>
      <c r="E11" s="5" t="s">
        <v>1975</v>
      </c>
    </row>
    <row r="12" spans="1:9">
      <c r="A12" s="5" t="s">
        <v>1955</v>
      </c>
    </row>
    <row r="13" spans="1:9">
      <c r="A13" s="5" t="s">
        <v>1956</v>
      </c>
      <c r="E13" s="3" t="s">
        <v>1976</v>
      </c>
      <c r="I13" s="3" t="s">
        <v>2008</v>
      </c>
    </row>
    <row r="14" spans="1:9">
      <c r="A14" s="5" t="s">
        <v>1957</v>
      </c>
      <c r="E14" s="5" t="s">
        <v>1977</v>
      </c>
      <c r="I14" s="5" t="s">
        <v>2009</v>
      </c>
    </row>
    <row r="15" spans="1:9">
      <c r="A15" s="5" t="s">
        <v>1958</v>
      </c>
      <c r="E15" s="5" t="s">
        <v>1978</v>
      </c>
      <c r="I15" s="5" t="s">
        <v>2010</v>
      </c>
    </row>
    <row r="16" spans="1:9">
      <c r="A16" s="5" t="s">
        <v>1959</v>
      </c>
      <c r="E16" s="5" t="s">
        <v>1979</v>
      </c>
      <c r="I16" s="5" t="s">
        <v>2011</v>
      </c>
    </row>
    <row r="17" spans="1:9">
      <c r="A17" s="5" t="s">
        <v>1960</v>
      </c>
      <c r="E17" s="5" t="s">
        <v>1980</v>
      </c>
      <c r="I17" s="5" t="s">
        <v>2012</v>
      </c>
    </row>
    <row r="18" spans="1:9">
      <c r="A18" s="5" t="s">
        <v>1961</v>
      </c>
      <c r="E18" s="5" t="s">
        <v>1981</v>
      </c>
      <c r="I18" s="5" t="s">
        <v>2013</v>
      </c>
    </row>
    <row r="19" spans="1:9">
      <c r="A19" s="5" t="s">
        <v>1962</v>
      </c>
      <c r="E19" s="5" t="s">
        <v>1982</v>
      </c>
      <c r="I19" s="5" t="s">
        <v>2014</v>
      </c>
    </row>
    <row r="20" spans="1:9">
      <c r="A20" s="5" t="s">
        <v>1963</v>
      </c>
      <c r="E20" s="5" t="s">
        <v>1983</v>
      </c>
    </row>
    <row r="21" spans="1:9">
      <c r="A21" s="5" t="s">
        <v>1964</v>
      </c>
      <c r="E21" s="5" t="s">
        <v>1984</v>
      </c>
    </row>
    <row r="22" spans="1:9">
      <c r="A22" s="5" t="s">
        <v>1965</v>
      </c>
    </row>
    <row r="23" spans="1:9">
      <c r="A23" s="5" t="s">
        <v>1966</v>
      </c>
    </row>
    <row r="25" spans="1:9">
      <c r="A25" s="3" t="s">
        <v>1985</v>
      </c>
      <c r="E25" s="3" t="s">
        <v>1994</v>
      </c>
      <c r="I25" s="3" t="s">
        <v>2001</v>
      </c>
    </row>
    <row r="26" spans="1:9">
      <c r="A26" s="5" t="s">
        <v>1986</v>
      </c>
      <c r="E26" s="5" t="s">
        <v>1995</v>
      </c>
      <c r="I26" s="5" t="s">
        <v>2002</v>
      </c>
    </row>
    <row r="27" spans="1:9">
      <c r="A27" s="5" t="s">
        <v>1987</v>
      </c>
      <c r="E27" s="5" t="s">
        <v>1996</v>
      </c>
      <c r="I27" s="5" t="s">
        <v>2003</v>
      </c>
    </row>
    <row r="28" spans="1:9">
      <c r="A28" s="5" t="s">
        <v>1988</v>
      </c>
      <c r="E28" s="5" t="s">
        <v>1997</v>
      </c>
      <c r="I28" s="5" t="s">
        <v>2004</v>
      </c>
    </row>
    <row r="29" spans="1:9">
      <c r="A29" s="5" t="s">
        <v>1989</v>
      </c>
      <c r="E29" s="5" t="s">
        <v>1998</v>
      </c>
      <c r="I29" s="5" t="s">
        <v>2005</v>
      </c>
    </row>
    <row r="30" spans="1:9">
      <c r="A30" s="5" t="s">
        <v>1990</v>
      </c>
      <c r="E30" s="5" t="s">
        <v>1999</v>
      </c>
      <c r="I30" s="5" t="s">
        <v>2006</v>
      </c>
    </row>
    <row r="31" spans="1:9">
      <c r="A31" s="5" t="s">
        <v>1991</v>
      </c>
      <c r="E31" s="5" t="s">
        <v>2000</v>
      </c>
      <c r="I31" s="5" t="s">
        <v>2007</v>
      </c>
    </row>
    <row r="32" spans="1:9">
      <c r="A32" s="5" t="s">
        <v>1992</v>
      </c>
    </row>
    <row r="33" spans="1:9">
      <c r="A33" s="5" t="s">
        <v>1993</v>
      </c>
    </row>
    <row r="35" spans="1:9">
      <c r="A35" s="3" t="s">
        <v>2015</v>
      </c>
    </row>
    <row r="36" spans="1:9">
      <c r="A36" s="3" t="s">
        <v>2016</v>
      </c>
      <c r="E36" s="3" t="s">
        <v>2021</v>
      </c>
    </row>
    <row r="37" spans="1:9">
      <c r="A37" s="5" t="s">
        <v>2017</v>
      </c>
      <c r="E37" s="5" t="s">
        <v>2022</v>
      </c>
    </row>
    <row r="38" spans="1:9">
      <c r="A38" s="5" t="s">
        <v>2018</v>
      </c>
      <c r="E38" s="5" t="s">
        <v>2023</v>
      </c>
    </row>
    <row r="39" spans="1:9">
      <c r="A39" s="5" t="s">
        <v>2019</v>
      </c>
      <c r="E39" s="5" t="s">
        <v>2024</v>
      </c>
    </row>
    <row r="40" spans="1:9">
      <c r="A40" s="5" t="s">
        <v>2020</v>
      </c>
      <c r="E40" s="5" t="s">
        <v>2025</v>
      </c>
    </row>
    <row r="42" spans="1:9">
      <c r="A42" s="3" t="s">
        <v>2026</v>
      </c>
    </row>
    <row r="43" spans="1:9">
      <c r="A43" s="3" t="s">
        <v>2027</v>
      </c>
      <c r="E43" s="3" t="s">
        <v>2034</v>
      </c>
      <c r="I43" s="3" t="s">
        <v>2034</v>
      </c>
    </row>
    <row r="44" spans="1:9">
      <c r="A44" s="5" t="s">
        <v>2028</v>
      </c>
      <c r="E44" s="5" t="s">
        <v>2035</v>
      </c>
      <c r="I44" s="5" t="s">
        <v>2043</v>
      </c>
    </row>
    <row r="45" spans="1:9">
      <c r="A45" s="5" t="s">
        <v>2029</v>
      </c>
      <c r="E45" s="5" t="s">
        <v>2036</v>
      </c>
      <c r="I45" s="5" t="s">
        <v>2044</v>
      </c>
    </row>
    <row r="46" spans="1:9">
      <c r="A46" s="5" t="s">
        <v>2030</v>
      </c>
      <c r="E46" s="5" t="s">
        <v>2037</v>
      </c>
      <c r="I46" s="5" t="s">
        <v>2045</v>
      </c>
    </row>
    <row r="47" spans="1:9">
      <c r="A47" s="5" t="s">
        <v>2031</v>
      </c>
      <c r="E47" s="5" t="s">
        <v>2038</v>
      </c>
      <c r="I47" s="5" t="s">
        <v>2046</v>
      </c>
    </row>
    <row r="48" spans="1:9">
      <c r="A48" s="5" t="s">
        <v>2032</v>
      </c>
      <c r="E48" s="5" t="s">
        <v>2039</v>
      </c>
      <c r="I48" s="5" t="s">
        <v>2047</v>
      </c>
    </row>
    <row r="49" spans="1:9">
      <c r="A49" s="5" t="s">
        <v>2033</v>
      </c>
      <c r="E49" s="5" t="s">
        <v>2040</v>
      </c>
      <c r="I49" s="5" t="s">
        <v>2048</v>
      </c>
    </row>
    <row r="50" spans="1:9">
      <c r="E50" s="5" t="s">
        <v>2041</v>
      </c>
      <c r="I50" s="5" t="s">
        <v>2049</v>
      </c>
    </row>
    <row r="51" spans="1:9">
      <c r="E51" s="5" t="s">
        <v>2042</v>
      </c>
      <c r="I51" s="5" t="s">
        <v>2050</v>
      </c>
    </row>
    <row r="53" spans="1:9">
      <c r="A53" s="3" t="s">
        <v>2051</v>
      </c>
      <c r="E53" s="3" t="s">
        <v>2058</v>
      </c>
      <c r="I53" s="3" t="s">
        <v>2066</v>
      </c>
    </row>
    <row r="54" spans="1:9">
      <c r="A54" s="5" t="s">
        <v>2052</v>
      </c>
      <c r="E54" s="5" t="s">
        <v>738</v>
      </c>
      <c r="I54" s="5" t="s">
        <v>2067</v>
      </c>
    </row>
    <row r="55" spans="1:9">
      <c r="A55" s="5" t="s">
        <v>2053</v>
      </c>
      <c r="E55" s="5" t="s">
        <v>2059</v>
      </c>
      <c r="I55" s="5" t="s">
        <v>2068</v>
      </c>
    </row>
    <row r="56" spans="1:9">
      <c r="A56" s="5" t="s">
        <v>2054</v>
      </c>
      <c r="E56" s="5" t="s">
        <v>2060</v>
      </c>
      <c r="I56" s="5" t="s">
        <v>2069</v>
      </c>
    </row>
    <row r="57" spans="1:9">
      <c r="A57" s="5" t="s">
        <v>2055</v>
      </c>
      <c r="E57" s="5" t="s">
        <v>2061</v>
      </c>
      <c r="I57" s="5" t="s">
        <v>2070</v>
      </c>
    </row>
    <row r="58" spans="1:9">
      <c r="A58" s="5" t="s">
        <v>2056</v>
      </c>
      <c r="E58" s="5" t="s">
        <v>2062</v>
      </c>
      <c r="I58" s="5" t="s">
        <v>2071</v>
      </c>
    </row>
    <row r="59" spans="1:9">
      <c r="A59" s="5" t="s">
        <v>2057</v>
      </c>
      <c r="E59" s="5" t="s">
        <v>2063</v>
      </c>
      <c r="I59" s="5" t="s">
        <v>2072</v>
      </c>
    </row>
    <row r="60" spans="1:9">
      <c r="E60" s="5" t="s">
        <v>2064</v>
      </c>
      <c r="I60" s="5" t="s">
        <v>2073</v>
      </c>
    </row>
    <row r="61" spans="1:9">
      <c r="E61" s="5" t="s">
        <v>2065</v>
      </c>
      <c r="I61" s="5" t="s">
        <v>2074</v>
      </c>
    </row>
    <row r="63" spans="1:9">
      <c r="A63" s="3" t="s">
        <v>2027</v>
      </c>
      <c r="E63" s="3" t="s">
        <v>2081</v>
      </c>
    </row>
    <row r="64" spans="1:9">
      <c r="A64" s="5" t="s">
        <v>2075</v>
      </c>
      <c r="E64" s="5" t="s">
        <v>2082</v>
      </c>
    </row>
    <row r="65" spans="1:5">
      <c r="A65" s="5" t="s">
        <v>2076</v>
      </c>
      <c r="E65" s="5" t="s">
        <v>2083</v>
      </c>
    </row>
    <row r="66" spans="1:5">
      <c r="A66" s="5" t="s">
        <v>2077</v>
      </c>
      <c r="E66" s="5" t="s">
        <v>2084</v>
      </c>
    </row>
    <row r="67" spans="1:5">
      <c r="A67" s="5" t="s">
        <v>2078</v>
      </c>
      <c r="E67" s="5" t="s">
        <v>2085</v>
      </c>
    </row>
    <row r="68" spans="1:5">
      <c r="A68" s="5" t="s">
        <v>2079</v>
      </c>
      <c r="E68" s="5" t="s">
        <v>2086</v>
      </c>
    </row>
    <row r="69" spans="1:5">
      <c r="A69" s="5" t="s">
        <v>2080</v>
      </c>
      <c r="E69" s="5" t="s">
        <v>2087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719D7-5EBE-44A8-9E68-78DFACB84AF7}">
  <sheetPr codeName="Лист40">
    <tabColor rgb="FFFFFF00"/>
  </sheetPr>
  <dimension ref="A1:I64"/>
  <sheetViews>
    <sheetView topLeftCell="A46" workbookViewId="0">
      <selection activeCell="I63" sqref="I63"/>
    </sheetView>
  </sheetViews>
  <sheetFormatPr defaultRowHeight="15"/>
  <cols>
    <col min="1" max="16384" width="9.140625" style="6"/>
  </cols>
  <sheetData>
    <row r="1" spans="1:9" ht="18.75">
      <c r="A1" s="4" t="s">
        <v>2088</v>
      </c>
    </row>
    <row r="2" spans="1:9" ht="18.75">
      <c r="A2" s="4"/>
    </row>
    <row r="3" spans="1:9">
      <c r="A3" s="3" t="s">
        <v>2089</v>
      </c>
      <c r="E3" s="3" t="s">
        <v>1976</v>
      </c>
      <c r="I3" s="3" t="s">
        <v>1967</v>
      </c>
    </row>
    <row r="4" spans="1:9">
      <c r="A4" s="5" t="s">
        <v>2090</v>
      </c>
      <c r="E4" s="5" t="s">
        <v>1977</v>
      </c>
      <c r="I4" s="5" t="s">
        <v>1968</v>
      </c>
    </row>
    <row r="5" spans="1:9">
      <c r="A5" s="5" t="s">
        <v>2091</v>
      </c>
      <c r="E5" s="5" t="s">
        <v>1978</v>
      </c>
      <c r="I5" s="5" t="s">
        <v>1969</v>
      </c>
    </row>
    <row r="6" spans="1:9">
      <c r="A6" s="5" t="s">
        <v>2092</v>
      </c>
      <c r="E6" s="5" t="s">
        <v>1979</v>
      </c>
      <c r="I6" s="5" t="s">
        <v>1970</v>
      </c>
    </row>
    <row r="7" spans="1:9">
      <c r="A7" s="5" t="s">
        <v>2093</v>
      </c>
      <c r="E7" s="5" t="s">
        <v>1980</v>
      </c>
      <c r="I7" s="5" t="s">
        <v>1971</v>
      </c>
    </row>
    <row r="8" spans="1:9">
      <c r="A8" s="5" t="s">
        <v>2094</v>
      </c>
      <c r="E8" s="5" t="s">
        <v>1981</v>
      </c>
      <c r="I8" s="5" t="s">
        <v>1972</v>
      </c>
    </row>
    <row r="9" spans="1:9">
      <c r="A9" s="5" t="s">
        <v>2095</v>
      </c>
      <c r="E9" s="5" t="s">
        <v>1982</v>
      </c>
      <c r="I9" s="5" t="s">
        <v>1973</v>
      </c>
    </row>
    <row r="10" spans="1:9">
      <c r="A10" s="5" t="s">
        <v>2096</v>
      </c>
      <c r="E10" s="5" t="s">
        <v>1983</v>
      </c>
      <c r="I10" s="5" t="s">
        <v>1974</v>
      </c>
    </row>
    <row r="11" spans="1:9">
      <c r="A11" s="5" t="s">
        <v>2097</v>
      </c>
      <c r="E11" s="5" t="s">
        <v>1984</v>
      </c>
      <c r="I11" s="5" t="s">
        <v>1975</v>
      </c>
    </row>
    <row r="13" spans="1:9">
      <c r="A13" s="3" t="s">
        <v>1985</v>
      </c>
      <c r="E13" s="3" t="s">
        <v>2098</v>
      </c>
      <c r="I13" s="3" t="s">
        <v>2107</v>
      </c>
    </row>
    <row r="14" spans="1:9">
      <c r="A14" s="5" t="s">
        <v>1986</v>
      </c>
      <c r="E14" s="5" t="s">
        <v>2099</v>
      </c>
      <c r="I14" s="5" t="s">
        <v>2108</v>
      </c>
    </row>
    <row r="15" spans="1:9">
      <c r="A15" s="5" t="s">
        <v>1987</v>
      </c>
      <c r="E15" s="5" t="s">
        <v>2100</v>
      </c>
      <c r="I15" s="5" t="s">
        <v>2109</v>
      </c>
    </row>
    <row r="16" spans="1:9">
      <c r="A16" s="5" t="s">
        <v>1988</v>
      </c>
      <c r="E16" s="5" t="s">
        <v>2101</v>
      </c>
      <c r="I16" s="5" t="s">
        <v>2110</v>
      </c>
    </row>
    <row r="17" spans="1:9">
      <c r="A17" s="5" t="s">
        <v>1989</v>
      </c>
      <c r="E17" s="5" t="s">
        <v>2102</v>
      </c>
      <c r="I17" s="5" t="s">
        <v>2111</v>
      </c>
    </row>
    <row r="18" spans="1:9">
      <c r="A18" s="5" t="s">
        <v>1990</v>
      </c>
      <c r="E18" s="5" t="s">
        <v>2103</v>
      </c>
      <c r="I18" s="5" t="s">
        <v>2112</v>
      </c>
    </row>
    <row r="19" spans="1:9">
      <c r="A19" s="5" t="s">
        <v>1991</v>
      </c>
      <c r="E19" s="5" t="s">
        <v>2104</v>
      </c>
      <c r="I19" s="5" t="s">
        <v>2113</v>
      </c>
    </row>
    <row r="20" spans="1:9">
      <c r="A20" s="5" t="s">
        <v>1992</v>
      </c>
      <c r="E20" s="5" t="s">
        <v>2105</v>
      </c>
      <c r="I20" s="5" t="s">
        <v>2114</v>
      </c>
    </row>
    <row r="21" spans="1:9">
      <c r="A21" s="5" t="s">
        <v>1993</v>
      </c>
      <c r="E21" s="5" t="s">
        <v>2106</v>
      </c>
      <c r="I21" s="5" t="s">
        <v>2115</v>
      </c>
    </row>
    <row r="23" spans="1:9">
      <c r="A23" s="3" t="s">
        <v>2116</v>
      </c>
    </row>
    <row r="24" spans="1:9">
      <c r="A24" s="5" t="s">
        <v>2117</v>
      </c>
    </row>
    <row r="25" spans="1:9">
      <c r="A25" s="5" t="s">
        <v>2118</v>
      </c>
    </row>
    <row r="26" spans="1:9">
      <c r="A26" s="5" t="s">
        <v>2119</v>
      </c>
    </row>
    <row r="27" spans="1:9">
      <c r="A27" s="5" t="s">
        <v>2120</v>
      </c>
    </row>
    <row r="28" spans="1:9">
      <c r="A28" s="5" t="s">
        <v>2121</v>
      </c>
    </row>
    <row r="29" spans="1:9">
      <c r="A29" s="5" t="s">
        <v>2122</v>
      </c>
    </row>
    <row r="30" spans="1:9">
      <c r="A30" s="5" t="s">
        <v>2123</v>
      </c>
    </row>
    <row r="31" spans="1:9">
      <c r="A31" s="5" t="s">
        <v>2124</v>
      </c>
    </row>
    <row r="32" spans="1:9">
      <c r="A32" s="5"/>
    </row>
    <row r="33" spans="1:5">
      <c r="A33" s="3" t="s">
        <v>2125</v>
      </c>
    </row>
    <row r="34" spans="1:5">
      <c r="A34" s="3" t="s">
        <v>2126</v>
      </c>
      <c r="E34" s="3" t="s">
        <v>2133</v>
      </c>
    </row>
    <row r="35" spans="1:5">
      <c r="A35" s="5" t="s">
        <v>2127</v>
      </c>
      <c r="E35" s="5" t="s">
        <v>2134</v>
      </c>
    </row>
    <row r="36" spans="1:5">
      <c r="A36" s="5" t="s">
        <v>2128</v>
      </c>
      <c r="E36" s="5" t="s">
        <v>2135</v>
      </c>
    </row>
    <row r="37" spans="1:5">
      <c r="A37" s="5" t="s">
        <v>2129</v>
      </c>
      <c r="E37" s="5" t="s">
        <v>2136</v>
      </c>
    </row>
    <row r="38" spans="1:5">
      <c r="A38" s="5" t="s">
        <v>2130</v>
      </c>
      <c r="E38" s="5" t="s">
        <v>2137</v>
      </c>
    </row>
    <row r="39" spans="1:5">
      <c r="A39" s="5" t="s">
        <v>2131</v>
      </c>
      <c r="E39" s="5" t="s">
        <v>2138</v>
      </c>
    </row>
    <row r="40" spans="1:5">
      <c r="A40" s="5" t="s">
        <v>2132</v>
      </c>
      <c r="E40" s="5" t="s">
        <v>2139</v>
      </c>
    </row>
    <row r="41" spans="1:5">
      <c r="E41" s="5" t="s">
        <v>2140</v>
      </c>
    </row>
    <row r="42" spans="1:5">
      <c r="E42" s="5" t="s">
        <v>2141</v>
      </c>
    </row>
    <row r="43" spans="1:5">
      <c r="A43" s="5"/>
    </row>
    <row r="44" spans="1:5">
      <c r="A44" s="3" t="s">
        <v>2142</v>
      </c>
    </row>
    <row r="45" spans="1:5">
      <c r="A45" s="3" t="s">
        <v>2143</v>
      </c>
      <c r="E45" s="3" t="s">
        <v>2146</v>
      </c>
    </row>
    <row r="46" spans="1:5">
      <c r="A46" s="5" t="s">
        <v>2017</v>
      </c>
      <c r="E46" s="5" t="s">
        <v>2147</v>
      </c>
    </row>
    <row r="47" spans="1:5">
      <c r="A47" s="5" t="s">
        <v>2144</v>
      </c>
      <c r="E47" s="5" t="s">
        <v>2148</v>
      </c>
    </row>
    <row r="48" spans="1:5">
      <c r="A48" s="5" t="s">
        <v>2145</v>
      </c>
      <c r="E48" s="5" t="s">
        <v>2149</v>
      </c>
    </row>
    <row r="49" spans="1:9">
      <c r="A49" s="5" t="s">
        <v>2020</v>
      </c>
      <c r="E49" s="5" t="s">
        <v>2150</v>
      </c>
    </row>
    <row r="50" spans="1:9">
      <c r="A50" s="5"/>
    </row>
    <row r="51" spans="1:9">
      <c r="A51" s="3" t="s">
        <v>2151</v>
      </c>
    </row>
    <row r="52" spans="1:9">
      <c r="A52" s="3" t="s">
        <v>2152</v>
      </c>
      <c r="E52" s="3" t="s">
        <v>2168</v>
      </c>
      <c r="I52" s="3" t="s">
        <v>2174</v>
      </c>
    </row>
    <row r="53" spans="1:9">
      <c r="A53" s="5" t="s">
        <v>2153</v>
      </c>
      <c r="E53" s="5" t="s">
        <v>263</v>
      </c>
      <c r="I53" s="5" t="s">
        <v>2175</v>
      </c>
    </row>
    <row r="54" spans="1:9">
      <c r="A54" s="5" t="s">
        <v>2154</v>
      </c>
      <c r="E54" s="5" t="s">
        <v>2169</v>
      </c>
      <c r="I54" s="5" t="s">
        <v>2176</v>
      </c>
    </row>
    <row r="55" spans="1:9">
      <c r="A55" s="5" t="s">
        <v>2155</v>
      </c>
      <c r="E55" s="5" t="s">
        <v>2170</v>
      </c>
      <c r="I55" s="5" t="s">
        <v>2177</v>
      </c>
    </row>
    <row r="56" spans="1:9">
      <c r="A56" s="5" t="s">
        <v>2156</v>
      </c>
      <c r="E56" s="5" t="s">
        <v>2171</v>
      </c>
      <c r="I56" s="5" t="s">
        <v>2178</v>
      </c>
    </row>
    <row r="57" spans="1:9">
      <c r="A57" s="5" t="s">
        <v>2157</v>
      </c>
      <c r="E57" s="5" t="s">
        <v>2172</v>
      </c>
      <c r="I57" s="5" t="s">
        <v>2179</v>
      </c>
    </row>
    <row r="58" spans="1:9">
      <c r="A58" s="5" t="s">
        <v>2158</v>
      </c>
      <c r="E58" s="5" t="s">
        <v>2173</v>
      </c>
      <c r="I58" s="5" t="s">
        <v>2180</v>
      </c>
    </row>
    <row r="60" spans="1:9">
      <c r="A60" s="3" t="s">
        <v>2164</v>
      </c>
      <c r="E60" s="3" t="s">
        <v>2159</v>
      </c>
    </row>
    <row r="61" spans="1:9">
      <c r="A61" s="5" t="s">
        <v>2165</v>
      </c>
      <c r="E61" s="5" t="s">
        <v>2160</v>
      </c>
    </row>
    <row r="62" spans="1:9">
      <c r="A62" s="5" t="s">
        <v>253</v>
      </c>
      <c r="E62" s="5" t="s">
        <v>2161</v>
      </c>
    </row>
    <row r="63" spans="1:9">
      <c r="A63" s="5" t="s">
        <v>2166</v>
      </c>
      <c r="E63" s="5" t="s">
        <v>2162</v>
      </c>
    </row>
    <row r="64" spans="1:9">
      <c r="A64" s="5" t="s">
        <v>2167</v>
      </c>
      <c r="E64" s="5" t="s">
        <v>2163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04BA5-9F88-4F6D-A2BB-1AAB233A13BA}">
  <sheetPr codeName="Лист41">
    <tabColor rgb="FFFFFF00"/>
  </sheetPr>
  <dimension ref="A1:J141"/>
  <sheetViews>
    <sheetView topLeftCell="A76" workbookViewId="0">
      <selection activeCell="I102" sqref="I102:I106"/>
    </sheetView>
  </sheetViews>
  <sheetFormatPr defaultRowHeight="15"/>
  <cols>
    <col min="1" max="9" width="9.140625" style="6"/>
    <col min="11" max="16384" width="9.140625" style="6"/>
  </cols>
  <sheetData>
    <row r="1" spans="1:10" ht="18.75">
      <c r="A1" s="4" t="s">
        <v>2181</v>
      </c>
    </row>
    <row r="2" spans="1:10">
      <c r="A2" s="14" t="s">
        <v>2182</v>
      </c>
      <c r="J2" s="6"/>
    </row>
    <row r="3" spans="1:10">
      <c r="A3" s="14"/>
      <c r="J3" s="6"/>
    </row>
    <row r="4" spans="1:10">
      <c r="A4" s="3" t="s">
        <v>2183</v>
      </c>
      <c r="E4" s="3" t="s">
        <v>2199</v>
      </c>
      <c r="I4" s="3" t="s">
        <v>2190</v>
      </c>
      <c r="J4" s="6"/>
    </row>
    <row r="5" spans="1:10">
      <c r="A5" s="5" t="s">
        <v>2184</v>
      </c>
      <c r="E5" s="5" t="s">
        <v>2200</v>
      </c>
      <c r="I5" s="5" t="s">
        <v>2191</v>
      </c>
      <c r="J5" s="6"/>
    </row>
    <row r="6" spans="1:10">
      <c r="A6" s="5" t="s">
        <v>2185</v>
      </c>
      <c r="E6" s="5" t="s">
        <v>2201</v>
      </c>
      <c r="I6" s="5" t="s">
        <v>2192</v>
      </c>
      <c r="J6" s="6"/>
    </row>
    <row r="7" spans="1:10">
      <c r="A7" s="5" t="s">
        <v>2186</v>
      </c>
      <c r="E7" s="5" t="s">
        <v>2202</v>
      </c>
      <c r="I7" s="5" t="s">
        <v>2193</v>
      </c>
      <c r="J7" s="6"/>
    </row>
    <row r="8" spans="1:10">
      <c r="A8" s="5" t="s">
        <v>2187</v>
      </c>
      <c r="E8" s="5" t="s">
        <v>2203</v>
      </c>
      <c r="I8" s="5" t="s">
        <v>2194</v>
      </c>
      <c r="J8" s="6"/>
    </row>
    <row r="9" spans="1:10">
      <c r="A9" s="5" t="s">
        <v>2188</v>
      </c>
      <c r="E9" s="5" t="s">
        <v>2204</v>
      </c>
      <c r="I9" s="5" t="s">
        <v>2195</v>
      </c>
      <c r="J9" s="6"/>
    </row>
    <row r="10" spans="1:10">
      <c r="A10" s="5" t="s">
        <v>2189</v>
      </c>
      <c r="E10" s="5" t="s">
        <v>2205</v>
      </c>
      <c r="I10" s="5" t="s">
        <v>2196</v>
      </c>
      <c r="J10" s="6"/>
    </row>
    <row r="11" spans="1:10">
      <c r="I11" s="5" t="s">
        <v>2197</v>
      </c>
      <c r="J11" s="6"/>
    </row>
    <row r="12" spans="1:10">
      <c r="I12" s="5" t="s">
        <v>2198</v>
      </c>
      <c r="J12" s="6"/>
    </row>
    <row r="13" spans="1:10">
      <c r="J13" s="6"/>
    </row>
    <row r="14" spans="1:10">
      <c r="A14" s="3" t="s">
        <v>2206</v>
      </c>
      <c r="J14" s="6"/>
    </row>
    <row r="15" spans="1:10">
      <c r="A15" s="5" t="s">
        <v>2207</v>
      </c>
      <c r="J15" s="6"/>
    </row>
    <row r="16" spans="1:10">
      <c r="A16" s="5" t="s">
        <v>2208</v>
      </c>
      <c r="J16" s="6"/>
    </row>
    <row r="17" spans="1:10">
      <c r="A17" s="5" t="s">
        <v>2209</v>
      </c>
      <c r="J17" s="6"/>
    </row>
    <row r="18" spans="1:10">
      <c r="A18" s="5" t="s">
        <v>2210</v>
      </c>
      <c r="J18" s="6"/>
    </row>
    <row r="19" spans="1:10">
      <c r="J19" s="6"/>
    </row>
    <row r="20" spans="1:10">
      <c r="A20" s="3" t="s">
        <v>2211</v>
      </c>
      <c r="J20" s="6"/>
    </row>
    <row r="21" spans="1:10">
      <c r="A21" s="3"/>
      <c r="J21" s="6"/>
    </row>
    <row r="22" spans="1:10">
      <c r="A22" s="3" t="s">
        <v>2212</v>
      </c>
      <c r="E22" s="3" t="s">
        <v>2220</v>
      </c>
      <c r="I22" s="3" t="s">
        <v>2229</v>
      </c>
      <c r="J22" s="6"/>
    </row>
    <row r="23" spans="1:10">
      <c r="A23" s="5" t="s">
        <v>2213</v>
      </c>
      <c r="E23" s="5" t="s">
        <v>2221</v>
      </c>
      <c r="I23" s="5" t="s">
        <v>2230</v>
      </c>
      <c r="J23" s="6"/>
    </row>
    <row r="24" spans="1:10">
      <c r="A24" s="5" t="s">
        <v>2214</v>
      </c>
      <c r="E24" s="5" t="s">
        <v>2222</v>
      </c>
      <c r="I24" s="5" t="s">
        <v>2231</v>
      </c>
      <c r="J24" s="6"/>
    </row>
    <row r="25" spans="1:10">
      <c r="A25" s="5" t="s">
        <v>1555</v>
      </c>
      <c r="E25" s="5" t="s">
        <v>2223</v>
      </c>
      <c r="I25" s="5" t="s">
        <v>2232</v>
      </c>
      <c r="J25" s="6"/>
    </row>
    <row r="26" spans="1:10">
      <c r="A26" s="5" t="s">
        <v>2215</v>
      </c>
      <c r="E26" s="5" t="s">
        <v>2224</v>
      </c>
      <c r="I26" s="5" t="s">
        <v>2233</v>
      </c>
      <c r="J26" s="6"/>
    </row>
    <row r="27" spans="1:10">
      <c r="A27" s="5" t="s">
        <v>2216</v>
      </c>
      <c r="E27" s="5" t="s">
        <v>2225</v>
      </c>
      <c r="I27" s="5" t="s">
        <v>2234</v>
      </c>
      <c r="J27" s="6"/>
    </row>
    <row r="28" spans="1:10">
      <c r="A28" s="5" t="s">
        <v>2217</v>
      </c>
      <c r="E28" s="5" t="s">
        <v>2226</v>
      </c>
      <c r="I28" s="5" t="s">
        <v>2235</v>
      </c>
      <c r="J28" s="6"/>
    </row>
    <row r="29" spans="1:10">
      <c r="A29" s="5" t="s">
        <v>2218</v>
      </c>
      <c r="E29" s="5" t="s">
        <v>2227</v>
      </c>
      <c r="J29" s="6"/>
    </row>
    <row r="30" spans="1:10">
      <c r="A30" s="5" t="s">
        <v>2219</v>
      </c>
      <c r="E30" s="5" t="s">
        <v>2228</v>
      </c>
      <c r="J30" s="6"/>
    </row>
    <row r="31" spans="1:10">
      <c r="J31" s="6"/>
    </row>
    <row r="32" spans="1:10">
      <c r="A32" s="3" t="s">
        <v>2236</v>
      </c>
      <c r="J32" s="6"/>
    </row>
    <row r="33" spans="1:10">
      <c r="A33" s="5" t="s">
        <v>310</v>
      </c>
      <c r="J33" s="6"/>
    </row>
    <row r="34" spans="1:10">
      <c r="A34" s="5" t="s">
        <v>2237</v>
      </c>
      <c r="J34" s="6"/>
    </row>
    <row r="35" spans="1:10">
      <c r="A35" s="5" t="s">
        <v>2238</v>
      </c>
      <c r="J35" s="6"/>
    </row>
    <row r="36" spans="1:10">
      <c r="A36" s="5" t="s">
        <v>2239</v>
      </c>
      <c r="J36" s="6"/>
    </row>
    <row r="37" spans="1:10">
      <c r="A37" s="5" t="s">
        <v>2240</v>
      </c>
      <c r="J37" s="6"/>
    </row>
    <row r="38" spans="1:10">
      <c r="A38" s="5" t="s">
        <v>2241</v>
      </c>
      <c r="J38" s="6"/>
    </row>
    <row r="39" spans="1:10">
      <c r="A39" s="5" t="s">
        <v>2242</v>
      </c>
      <c r="J39" s="6"/>
    </row>
    <row r="40" spans="1:10">
      <c r="A40" s="5" t="s">
        <v>2243</v>
      </c>
      <c r="J40" s="6"/>
    </row>
    <row r="41" spans="1:10">
      <c r="A41" s="5"/>
      <c r="J41" s="6"/>
    </row>
    <row r="42" spans="1:10">
      <c r="A42" s="3" t="s">
        <v>2244</v>
      </c>
      <c r="J42" s="6"/>
    </row>
    <row r="43" spans="1:10">
      <c r="A43" s="3"/>
      <c r="J43" s="6"/>
    </row>
    <row r="44" spans="1:10">
      <c r="A44" s="3" t="s">
        <v>2245</v>
      </c>
      <c r="E44" s="3" t="s">
        <v>2254</v>
      </c>
      <c r="I44" s="3" t="s">
        <v>2250</v>
      </c>
      <c r="J44" s="6"/>
    </row>
    <row r="45" spans="1:10">
      <c r="A45" s="5" t="s">
        <v>316</v>
      </c>
      <c r="E45" s="5" t="s">
        <v>2255</v>
      </c>
      <c r="I45" s="5" t="s">
        <v>279</v>
      </c>
      <c r="J45" s="6"/>
    </row>
    <row r="46" spans="1:10">
      <c r="A46" s="5" t="s">
        <v>317</v>
      </c>
      <c r="E46" s="5" t="s">
        <v>2256</v>
      </c>
      <c r="I46" s="5" t="s">
        <v>2251</v>
      </c>
      <c r="J46" s="6"/>
    </row>
    <row r="47" spans="1:10">
      <c r="A47" s="5" t="s">
        <v>2246</v>
      </c>
      <c r="E47" s="5" t="s">
        <v>2257</v>
      </c>
      <c r="I47" s="5" t="s">
        <v>2252</v>
      </c>
      <c r="J47" s="6"/>
    </row>
    <row r="48" spans="1:10">
      <c r="A48" s="5" t="s">
        <v>2247</v>
      </c>
      <c r="E48" s="5" t="s">
        <v>2258</v>
      </c>
      <c r="I48" s="5" t="s">
        <v>2253</v>
      </c>
      <c r="J48" s="6"/>
    </row>
    <row r="49" spans="1:10">
      <c r="A49" s="5" t="s">
        <v>2248</v>
      </c>
      <c r="E49" s="5" t="s">
        <v>2259</v>
      </c>
      <c r="J49" s="6"/>
    </row>
    <row r="50" spans="1:10">
      <c r="A50" s="5" t="s">
        <v>2249</v>
      </c>
      <c r="E50" s="5" t="s">
        <v>2260</v>
      </c>
      <c r="J50" s="6"/>
    </row>
    <row r="51" spans="1:10">
      <c r="J51" s="6"/>
    </row>
    <row r="52" spans="1:10">
      <c r="A52" s="3" t="s">
        <v>299</v>
      </c>
      <c r="J52" s="6"/>
    </row>
    <row r="53" spans="1:10">
      <c r="A53" s="3"/>
      <c r="J53" s="6"/>
    </row>
    <row r="54" spans="1:10">
      <c r="A54" s="3" t="s">
        <v>300</v>
      </c>
      <c r="E54" s="3" t="s">
        <v>302</v>
      </c>
      <c r="I54" s="3" t="s">
        <v>2266</v>
      </c>
      <c r="J54" s="6"/>
    </row>
    <row r="55" spans="1:10">
      <c r="A55" s="5" t="s">
        <v>301</v>
      </c>
      <c r="E55" s="5" t="s">
        <v>2264</v>
      </c>
      <c r="I55" s="5" t="s">
        <v>782</v>
      </c>
      <c r="J55" s="6"/>
    </row>
    <row r="56" spans="1:10">
      <c r="A56" s="5" t="s">
        <v>2261</v>
      </c>
      <c r="E56" s="5" t="s">
        <v>2265</v>
      </c>
      <c r="I56" s="5" t="s">
        <v>2267</v>
      </c>
      <c r="J56" s="6"/>
    </row>
    <row r="57" spans="1:10">
      <c r="A57" s="5" t="s">
        <v>2262</v>
      </c>
      <c r="E57" s="5" t="s">
        <v>303</v>
      </c>
      <c r="I57" s="5" t="s">
        <v>2268</v>
      </c>
      <c r="J57" s="6"/>
    </row>
    <row r="58" spans="1:10">
      <c r="A58" s="5" t="s">
        <v>2263</v>
      </c>
      <c r="E58" s="5" t="s">
        <v>304</v>
      </c>
      <c r="I58" s="5" t="s">
        <v>785</v>
      </c>
      <c r="J58" s="6"/>
    </row>
    <row r="59" spans="1:10">
      <c r="I59" s="5" t="s">
        <v>2269</v>
      </c>
      <c r="J59" s="6"/>
    </row>
    <row r="60" spans="1:10">
      <c r="I60" s="5" t="s">
        <v>2270</v>
      </c>
      <c r="J60" s="6"/>
    </row>
    <row r="61" spans="1:10">
      <c r="J61" s="6"/>
    </row>
    <row r="62" spans="1:10">
      <c r="A62" s="3" t="s">
        <v>264</v>
      </c>
      <c r="J62" s="6"/>
    </row>
    <row r="63" spans="1:10">
      <c r="A63" s="3"/>
      <c r="J63" s="6"/>
    </row>
    <row r="64" spans="1:10">
      <c r="A64" s="3" t="s">
        <v>2271</v>
      </c>
      <c r="E64" s="3" t="s">
        <v>2278</v>
      </c>
      <c r="I64" s="3" t="s">
        <v>2280</v>
      </c>
      <c r="J64" s="6"/>
    </row>
    <row r="65" spans="1:10">
      <c r="A65" s="5" t="s">
        <v>2272</v>
      </c>
      <c r="E65" s="5" t="s">
        <v>265</v>
      </c>
      <c r="I65" s="5" t="s">
        <v>267</v>
      </c>
      <c r="J65" s="6"/>
    </row>
    <row r="66" spans="1:10">
      <c r="A66" s="5" t="s">
        <v>2273</v>
      </c>
      <c r="E66" s="5" t="s">
        <v>2279</v>
      </c>
      <c r="I66" s="5" t="s">
        <v>2281</v>
      </c>
      <c r="J66" s="6"/>
    </row>
    <row r="67" spans="1:10">
      <c r="A67" s="5" t="s">
        <v>2274</v>
      </c>
      <c r="E67" s="5" t="s">
        <v>1614</v>
      </c>
      <c r="I67" s="5" t="s">
        <v>2282</v>
      </c>
      <c r="J67" s="6"/>
    </row>
    <row r="68" spans="1:10">
      <c r="A68" s="5" t="s">
        <v>2275</v>
      </c>
      <c r="E68" s="5" t="s">
        <v>1656</v>
      </c>
      <c r="I68" s="5" t="s">
        <v>2283</v>
      </c>
      <c r="J68" s="6"/>
    </row>
    <row r="69" spans="1:10">
      <c r="A69" s="5" t="s">
        <v>2276</v>
      </c>
      <c r="I69" s="5" t="s">
        <v>2284</v>
      </c>
      <c r="J69" s="6"/>
    </row>
    <row r="70" spans="1:10">
      <c r="A70" s="5" t="s">
        <v>2277</v>
      </c>
      <c r="I70" s="5" t="s">
        <v>2285</v>
      </c>
      <c r="J70" s="6"/>
    </row>
    <row r="71" spans="1:10">
      <c r="I71" s="5" t="s">
        <v>1679</v>
      </c>
      <c r="J71" s="6"/>
    </row>
    <row r="72" spans="1:10">
      <c r="I72" s="5" t="s">
        <v>1680</v>
      </c>
      <c r="J72" s="6"/>
    </row>
    <row r="73" spans="1:10">
      <c r="I73" s="5" t="s">
        <v>2286</v>
      </c>
      <c r="J73" s="6"/>
    </row>
    <row r="74" spans="1:10">
      <c r="I74" s="5" t="s">
        <v>2287</v>
      </c>
      <c r="J74" s="6"/>
    </row>
    <row r="75" spans="1:10">
      <c r="J75" s="6"/>
    </row>
    <row r="76" spans="1:10">
      <c r="A76" s="3" t="s">
        <v>2288</v>
      </c>
      <c r="J76" s="6"/>
    </row>
    <row r="77" spans="1:10">
      <c r="A77" s="3"/>
      <c r="J77" s="6"/>
    </row>
    <row r="78" spans="1:10">
      <c r="A78" s="3" t="s">
        <v>2289</v>
      </c>
      <c r="E78" s="3" t="s">
        <v>2294</v>
      </c>
      <c r="I78" s="3" t="s">
        <v>2298</v>
      </c>
      <c r="J78" s="6"/>
    </row>
    <row r="79" spans="1:10">
      <c r="A79" s="5" t="s">
        <v>2290</v>
      </c>
      <c r="E79" s="5" t="s">
        <v>2295</v>
      </c>
      <c r="I79" s="5" t="s">
        <v>2299</v>
      </c>
      <c r="J79" s="6"/>
    </row>
    <row r="80" spans="1:10">
      <c r="A80" s="5" t="s">
        <v>2291</v>
      </c>
      <c r="E80" s="5" t="s">
        <v>2296</v>
      </c>
      <c r="I80" s="5" t="s">
        <v>2300</v>
      </c>
      <c r="J80" s="6"/>
    </row>
    <row r="81" spans="1:10">
      <c r="A81" s="5" t="s">
        <v>2292</v>
      </c>
      <c r="E81" s="5" t="s">
        <v>2297</v>
      </c>
      <c r="I81" s="5" t="s">
        <v>2301</v>
      </c>
      <c r="J81" s="6"/>
    </row>
    <row r="82" spans="1:10">
      <c r="A82" s="5" t="s">
        <v>2293</v>
      </c>
      <c r="E82" s="5" t="s">
        <v>281</v>
      </c>
      <c r="I82" s="5" t="s">
        <v>2302</v>
      </c>
      <c r="J82" s="6"/>
    </row>
    <row r="83" spans="1:10">
      <c r="J83" s="6"/>
    </row>
    <row r="84" spans="1:10">
      <c r="A84" s="3" t="s">
        <v>2303</v>
      </c>
      <c r="J84" s="6"/>
    </row>
    <row r="85" spans="1:10">
      <c r="A85" s="3"/>
      <c r="J85" s="6"/>
    </row>
    <row r="86" spans="1:10">
      <c r="A86" s="3" t="s">
        <v>2152</v>
      </c>
      <c r="E86" s="3" t="s">
        <v>2305</v>
      </c>
      <c r="J86" s="6"/>
    </row>
    <row r="87" spans="1:10">
      <c r="A87" s="5" t="s">
        <v>2153</v>
      </c>
      <c r="E87" s="5" t="s">
        <v>2165</v>
      </c>
      <c r="J87" s="6"/>
    </row>
    <row r="88" spans="1:10">
      <c r="A88" s="5" t="s">
        <v>2154</v>
      </c>
      <c r="E88" s="5" t="s">
        <v>253</v>
      </c>
      <c r="J88" s="6"/>
    </row>
    <row r="89" spans="1:10">
      <c r="A89" s="5" t="s">
        <v>2155</v>
      </c>
      <c r="E89" s="5" t="s">
        <v>2306</v>
      </c>
      <c r="J89" s="6"/>
    </row>
    <row r="90" spans="1:10">
      <c r="A90" s="5" t="s">
        <v>2156</v>
      </c>
      <c r="E90" s="5" t="s">
        <v>2307</v>
      </c>
      <c r="J90" s="6"/>
    </row>
    <row r="91" spans="1:10">
      <c r="A91" s="5" t="s">
        <v>2157</v>
      </c>
      <c r="E91" s="5" t="s">
        <v>698</v>
      </c>
      <c r="J91" s="6"/>
    </row>
    <row r="92" spans="1:10">
      <c r="A92" s="5" t="s">
        <v>2304</v>
      </c>
      <c r="E92" s="5" t="s">
        <v>255</v>
      </c>
      <c r="J92" s="6"/>
    </row>
    <row r="93" spans="1:10">
      <c r="J93" s="6"/>
    </row>
    <row r="94" spans="1:10">
      <c r="A94" s="3" t="s">
        <v>2308</v>
      </c>
      <c r="E94" s="3" t="s">
        <v>2309</v>
      </c>
      <c r="J94" s="6"/>
    </row>
    <row r="95" spans="1:10">
      <c r="A95" s="5" t="s">
        <v>263</v>
      </c>
      <c r="E95" s="5" t="s">
        <v>2310</v>
      </c>
      <c r="J95" s="6"/>
    </row>
    <row r="96" spans="1:10">
      <c r="A96" s="5" t="s">
        <v>2169</v>
      </c>
      <c r="E96" s="5" t="s">
        <v>2176</v>
      </c>
      <c r="J96" s="6"/>
    </row>
    <row r="97" spans="1:10">
      <c r="A97" s="5" t="s">
        <v>2170</v>
      </c>
      <c r="E97" s="5" t="s">
        <v>2177</v>
      </c>
      <c r="J97" s="6"/>
    </row>
    <row r="98" spans="1:10">
      <c r="A98" s="5" t="s">
        <v>2171</v>
      </c>
      <c r="E98" s="5" t="s">
        <v>2178</v>
      </c>
      <c r="J98" s="6"/>
    </row>
    <row r="99" spans="1:10">
      <c r="J99" s="6"/>
    </row>
    <row r="100" spans="1:10">
      <c r="A100" s="3" t="s">
        <v>743</v>
      </c>
      <c r="J100" s="6"/>
    </row>
    <row r="101" spans="1:10">
      <c r="A101" s="3"/>
      <c r="J101" s="6"/>
    </row>
    <row r="102" spans="1:10">
      <c r="A102" s="3" t="s">
        <v>2311</v>
      </c>
      <c r="E102" s="3" t="s">
        <v>2316</v>
      </c>
      <c r="I102" s="3" t="s">
        <v>2323</v>
      </c>
      <c r="J102" s="6"/>
    </row>
    <row r="103" spans="1:10">
      <c r="A103" s="5" t="s">
        <v>745</v>
      </c>
      <c r="E103" s="5" t="s">
        <v>2317</v>
      </c>
      <c r="I103" s="5" t="s">
        <v>754</v>
      </c>
      <c r="J103" s="6"/>
    </row>
    <row r="104" spans="1:10">
      <c r="A104" s="5" t="s">
        <v>746</v>
      </c>
      <c r="E104" s="5" t="s">
        <v>2318</v>
      </c>
      <c r="I104" s="5" t="s">
        <v>2324</v>
      </c>
      <c r="J104" s="6"/>
    </row>
    <row r="105" spans="1:10">
      <c r="A105" s="5" t="s">
        <v>2312</v>
      </c>
      <c r="E105" s="5" t="s">
        <v>2319</v>
      </c>
      <c r="I105" s="5" t="s">
        <v>2325</v>
      </c>
      <c r="J105" s="6"/>
    </row>
    <row r="106" spans="1:10">
      <c r="A106" s="5" t="s">
        <v>2313</v>
      </c>
      <c r="E106" s="5" t="s">
        <v>2320</v>
      </c>
      <c r="I106" s="5" t="s">
        <v>2326</v>
      </c>
      <c r="J106" s="6"/>
    </row>
    <row r="107" spans="1:10">
      <c r="A107" s="5" t="s">
        <v>2314</v>
      </c>
      <c r="E107" s="5" t="s">
        <v>2321</v>
      </c>
      <c r="J107" s="6"/>
    </row>
    <row r="108" spans="1:10">
      <c r="A108" s="5" t="s">
        <v>2315</v>
      </c>
      <c r="E108" s="5" t="s">
        <v>2322</v>
      </c>
      <c r="J108" s="6"/>
    </row>
    <row r="109" spans="1:10">
      <c r="J109" s="6"/>
    </row>
    <row r="110" spans="1:10">
      <c r="J110" s="6"/>
    </row>
    <row r="111" spans="1:10">
      <c r="J111" s="6"/>
    </row>
    <row r="112" spans="1:10">
      <c r="J112" s="6"/>
    </row>
    <row r="113" spans="10:10">
      <c r="J113" s="6"/>
    </row>
    <row r="114" spans="10:10">
      <c r="J114" s="6"/>
    </row>
    <row r="115" spans="10:10">
      <c r="J115" s="6"/>
    </row>
    <row r="116" spans="10:10">
      <c r="J116" s="6"/>
    </row>
    <row r="117" spans="10:10">
      <c r="J117" s="6"/>
    </row>
    <row r="118" spans="10:10">
      <c r="J118" s="6"/>
    </row>
    <row r="119" spans="10:10">
      <c r="J119" s="6"/>
    </row>
    <row r="120" spans="10:10">
      <c r="J120" s="6"/>
    </row>
    <row r="121" spans="10:10">
      <c r="J121" s="6"/>
    </row>
    <row r="122" spans="10:10">
      <c r="J122" s="6"/>
    </row>
    <row r="123" spans="10:10">
      <c r="J123" s="6"/>
    </row>
    <row r="124" spans="10:10">
      <c r="J124" s="6"/>
    </row>
    <row r="125" spans="10:10">
      <c r="J125" s="6"/>
    </row>
    <row r="126" spans="10:10">
      <c r="J126" s="6"/>
    </row>
    <row r="127" spans="10:10">
      <c r="J127" s="6"/>
    </row>
    <row r="128" spans="10:10">
      <c r="J128" s="6"/>
    </row>
    <row r="129" spans="10:10">
      <c r="J129" s="6"/>
    </row>
    <row r="130" spans="10:10">
      <c r="J130" s="6"/>
    </row>
    <row r="131" spans="10:10">
      <c r="J131" s="6"/>
    </row>
    <row r="132" spans="10:10">
      <c r="J132" s="6"/>
    </row>
    <row r="133" spans="10:10">
      <c r="J133" s="6"/>
    </row>
    <row r="134" spans="10:10">
      <c r="J134" s="6"/>
    </row>
    <row r="135" spans="10:10">
      <c r="J135" s="6"/>
    </row>
    <row r="136" spans="10:10">
      <c r="J136" s="6"/>
    </row>
    <row r="137" spans="10:10">
      <c r="J137" s="6"/>
    </row>
    <row r="138" spans="10:10">
      <c r="J138" s="6"/>
    </row>
    <row r="139" spans="10:10">
      <c r="J139" s="6"/>
    </row>
    <row r="140" spans="10:10">
      <c r="J140" s="6"/>
    </row>
    <row r="141" spans="10:10">
      <c r="J141" s="6"/>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4BA58-DB4C-4CE4-9A2C-EF64DF16BBF9}">
  <sheetPr codeName="Лист42">
    <tabColor rgb="FFFFFF00"/>
  </sheetPr>
  <dimension ref="A1:I37"/>
  <sheetViews>
    <sheetView topLeftCell="A7" workbookViewId="0">
      <selection activeCell="D41" sqref="D41"/>
    </sheetView>
  </sheetViews>
  <sheetFormatPr defaultRowHeight="15"/>
  <cols>
    <col min="1" max="16384" width="9.140625" style="6"/>
  </cols>
  <sheetData>
    <row r="1" spans="1:9">
      <c r="A1" s="3" t="s">
        <v>2327</v>
      </c>
    </row>
    <row r="2" spans="1:9">
      <c r="A2" s="3"/>
    </row>
    <row r="3" spans="1:9">
      <c r="A3" s="3" t="s">
        <v>2328</v>
      </c>
      <c r="E3" s="3" t="s">
        <v>2339</v>
      </c>
      <c r="I3" s="3" t="s">
        <v>2350</v>
      </c>
    </row>
    <row r="4" spans="1:9">
      <c r="A4" s="5" t="s">
        <v>2329</v>
      </c>
      <c r="E4" s="5" t="s">
        <v>2340</v>
      </c>
      <c r="I4" s="5" t="s">
        <v>2351</v>
      </c>
    </row>
    <row r="5" spans="1:9">
      <c r="A5" s="5" t="s">
        <v>2330</v>
      </c>
      <c r="E5" s="5" t="s">
        <v>2341</v>
      </c>
      <c r="I5" s="5" t="s">
        <v>2352</v>
      </c>
    </row>
    <row r="6" spans="1:9">
      <c r="A6" s="5" t="s">
        <v>2331</v>
      </c>
      <c r="E6" s="5" t="s">
        <v>2342</v>
      </c>
      <c r="I6" s="5" t="s">
        <v>2353</v>
      </c>
    </row>
    <row r="7" spans="1:9">
      <c r="A7" s="5" t="s">
        <v>2332</v>
      </c>
      <c r="E7" s="5" t="s">
        <v>2343</v>
      </c>
      <c r="I7" s="5" t="s">
        <v>2354</v>
      </c>
    </row>
    <row r="8" spans="1:9">
      <c r="A8" s="5" t="s">
        <v>2333</v>
      </c>
      <c r="E8" s="5" t="s">
        <v>2344</v>
      </c>
      <c r="I8" s="5" t="s">
        <v>2355</v>
      </c>
    </row>
    <row r="9" spans="1:9">
      <c r="A9" s="5" t="s">
        <v>2334</v>
      </c>
      <c r="E9" s="5" t="s">
        <v>2345</v>
      </c>
      <c r="I9" s="5" t="s">
        <v>2356</v>
      </c>
    </row>
    <row r="10" spans="1:9">
      <c r="A10" s="5" t="s">
        <v>2335</v>
      </c>
      <c r="E10" s="5" t="s">
        <v>2346</v>
      </c>
      <c r="I10" s="5" t="s">
        <v>2357</v>
      </c>
    </row>
    <row r="11" spans="1:9">
      <c r="A11" s="5" t="s">
        <v>2336</v>
      </c>
      <c r="E11" s="5" t="s">
        <v>2347</v>
      </c>
      <c r="I11" s="5" t="s">
        <v>2358</v>
      </c>
    </row>
    <row r="12" spans="1:9">
      <c r="A12" s="5" t="s">
        <v>2337</v>
      </c>
      <c r="E12" s="5" t="s">
        <v>2348</v>
      </c>
      <c r="I12" s="5" t="s">
        <v>2359</v>
      </c>
    </row>
    <row r="13" spans="1:9">
      <c r="A13" s="11" t="s">
        <v>2338</v>
      </c>
      <c r="E13" s="11" t="s">
        <v>2349</v>
      </c>
      <c r="I13" s="11" t="s">
        <v>2360</v>
      </c>
    </row>
    <row r="15" spans="1:9">
      <c r="A15" s="3" t="s">
        <v>2361</v>
      </c>
      <c r="E15" s="3" t="s">
        <v>2372</v>
      </c>
      <c r="I15" s="3" t="s">
        <v>2383</v>
      </c>
    </row>
    <row r="16" spans="1:9">
      <c r="A16" s="5" t="s">
        <v>2362</v>
      </c>
      <c r="E16" s="5" t="s">
        <v>2373</v>
      </c>
      <c r="I16" s="5" t="s">
        <v>2384</v>
      </c>
    </row>
    <row r="17" spans="1:9">
      <c r="A17" s="5" t="s">
        <v>2363</v>
      </c>
      <c r="E17" s="5" t="s">
        <v>2374</v>
      </c>
      <c r="I17" s="5" t="s">
        <v>2385</v>
      </c>
    </row>
    <row r="18" spans="1:9">
      <c r="A18" s="5" t="s">
        <v>2364</v>
      </c>
      <c r="E18" s="5" t="s">
        <v>2375</v>
      </c>
      <c r="I18" s="5" t="s">
        <v>2386</v>
      </c>
    </row>
    <row r="19" spans="1:9">
      <c r="A19" s="5" t="s">
        <v>2365</v>
      </c>
      <c r="E19" s="5" t="s">
        <v>2376</v>
      </c>
      <c r="I19" s="5" t="s">
        <v>2387</v>
      </c>
    </row>
    <row r="20" spans="1:9">
      <c r="A20" s="5" t="s">
        <v>2366</v>
      </c>
      <c r="E20" s="5" t="s">
        <v>2377</v>
      </c>
      <c r="I20" s="5" t="s">
        <v>2388</v>
      </c>
    </row>
    <row r="21" spans="1:9">
      <c r="A21" s="5" t="s">
        <v>2367</v>
      </c>
      <c r="E21" s="5" t="s">
        <v>2378</v>
      </c>
      <c r="I21" s="5" t="s">
        <v>2389</v>
      </c>
    </row>
    <row r="22" spans="1:9">
      <c r="A22" s="5" t="s">
        <v>2368</v>
      </c>
      <c r="E22" s="5" t="s">
        <v>2379</v>
      </c>
      <c r="I22" s="5" t="s">
        <v>2390</v>
      </c>
    </row>
    <row r="23" spans="1:9">
      <c r="A23" s="5" t="s">
        <v>2369</v>
      </c>
      <c r="E23" s="5" t="s">
        <v>2380</v>
      </c>
      <c r="I23" s="5" t="s">
        <v>2391</v>
      </c>
    </row>
    <row r="24" spans="1:9">
      <c r="A24" s="5" t="s">
        <v>2370</v>
      </c>
      <c r="E24" s="5" t="s">
        <v>2381</v>
      </c>
      <c r="I24" s="5" t="s">
        <v>2392</v>
      </c>
    </row>
    <row r="25" spans="1:9">
      <c r="A25" s="11" t="s">
        <v>2371</v>
      </c>
      <c r="E25" s="11" t="s">
        <v>2382</v>
      </c>
      <c r="I25" s="11" t="s">
        <v>2393</v>
      </c>
    </row>
    <row r="27" spans="1:9">
      <c r="A27" s="3" t="s">
        <v>2394</v>
      </c>
    </row>
    <row r="28" spans="1:9">
      <c r="A28" s="5" t="s">
        <v>2395</v>
      </c>
    </row>
    <row r="29" spans="1:9">
      <c r="A29" s="5" t="s">
        <v>2396</v>
      </c>
    </row>
    <row r="30" spans="1:9">
      <c r="A30" s="5" t="s">
        <v>2397</v>
      </c>
    </row>
    <row r="31" spans="1:9">
      <c r="A31" s="5" t="s">
        <v>2398</v>
      </c>
    </row>
    <row r="32" spans="1:9">
      <c r="A32" s="5" t="s">
        <v>2399</v>
      </c>
    </row>
    <row r="33" spans="1:1">
      <c r="A33" s="5" t="s">
        <v>2400</v>
      </c>
    </row>
    <row r="34" spans="1:1">
      <c r="A34" s="5" t="s">
        <v>2401</v>
      </c>
    </row>
    <row r="35" spans="1:1">
      <c r="A35" s="5" t="s">
        <v>2402</v>
      </c>
    </row>
    <row r="36" spans="1:1">
      <c r="A36" s="5" t="s">
        <v>2403</v>
      </c>
    </row>
    <row r="37" spans="1:1">
      <c r="A37" s="5" t="s">
        <v>2404</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2CC5C-AA59-45B5-BA08-76DE57B2ABF5}">
  <sheetPr>
    <tabColor rgb="FFFFFF00"/>
  </sheetPr>
  <dimension ref="A1:I25"/>
  <sheetViews>
    <sheetView workbookViewId="0">
      <selection activeCell="V34" sqref="V34"/>
    </sheetView>
  </sheetViews>
  <sheetFormatPr defaultRowHeight="15"/>
  <sheetData>
    <row r="1" spans="1:9" ht="18.75">
      <c r="A1" s="27" t="s">
        <v>8582</v>
      </c>
    </row>
    <row r="2" spans="1:9">
      <c r="A2" s="31" t="s">
        <v>2405</v>
      </c>
    </row>
    <row r="3" spans="1:9">
      <c r="A3" s="34" t="s">
        <v>8583</v>
      </c>
      <c r="E3" s="34" t="s">
        <v>8594</v>
      </c>
      <c r="I3" s="34" t="s">
        <v>8605</v>
      </c>
    </row>
    <row r="4" spans="1:9">
      <c r="A4" s="30" t="s">
        <v>8584</v>
      </c>
      <c r="E4" s="30" t="s">
        <v>8595</v>
      </c>
      <c r="I4" s="30" t="s">
        <v>8606</v>
      </c>
    </row>
    <row r="5" spans="1:9">
      <c r="A5" s="30" t="s">
        <v>8585</v>
      </c>
      <c r="E5" s="30" t="s">
        <v>8596</v>
      </c>
      <c r="I5" s="30" t="s">
        <v>8607</v>
      </c>
    </row>
    <row r="6" spans="1:9">
      <c r="A6" s="30" t="s">
        <v>8586</v>
      </c>
      <c r="E6" s="30" t="s">
        <v>8597</v>
      </c>
      <c r="I6" s="30" t="s">
        <v>8608</v>
      </c>
    </row>
    <row r="7" spans="1:9">
      <c r="A7" s="30" t="s">
        <v>8587</v>
      </c>
      <c r="E7" s="30" t="s">
        <v>8598</v>
      </c>
      <c r="I7" s="30" t="s">
        <v>8609</v>
      </c>
    </row>
    <row r="8" spans="1:9">
      <c r="A8" s="30" t="s">
        <v>8588</v>
      </c>
      <c r="E8" s="30" t="s">
        <v>8599</v>
      </c>
      <c r="I8" s="30" t="s">
        <v>8610</v>
      </c>
    </row>
    <row r="9" spans="1:9">
      <c r="A9" s="30" t="s">
        <v>8589</v>
      </c>
      <c r="E9" s="30" t="s">
        <v>8600</v>
      </c>
      <c r="I9" s="30" t="s">
        <v>8611</v>
      </c>
    </row>
    <row r="10" spans="1:9">
      <c r="A10" s="30" t="s">
        <v>8590</v>
      </c>
      <c r="E10" s="30" t="s">
        <v>8601</v>
      </c>
      <c r="I10" s="30" t="s">
        <v>8612</v>
      </c>
    </row>
    <row r="11" spans="1:9">
      <c r="A11" s="30" t="s">
        <v>8591</v>
      </c>
      <c r="E11" s="30" t="s">
        <v>8602</v>
      </c>
      <c r="I11" s="30" t="s">
        <v>8613</v>
      </c>
    </row>
    <row r="12" spans="1:9">
      <c r="A12" s="30" t="s">
        <v>8592</v>
      </c>
      <c r="E12" s="30" t="s">
        <v>8603</v>
      </c>
      <c r="I12" s="30" t="s">
        <v>8614</v>
      </c>
    </row>
    <row r="13" spans="1:9">
      <c r="A13" s="30" t="s">
        <v>8593</v>
      </c>
      <c r="E13" s="30" t="s">
        <v>8604</v>
      </c>
      <c r="I13" s="30" t="s">
        <v>8615</v>
      </c>
    </row>
    <row r="15" spans="1:9">
      <c r="A15" s="34" t="s">
        <v>8616</v>
      </c>
      <c r="E15" s="34" t="s">
        <v>8627</v>
      </c>
    </row>
    <row r="16" spans="1:9">
      <c r="A16" s="30" t="s">
        <v>8617</v>
      </c>
      <c r="E16" s="30" t="s">
        <v>8628</v>
      </c>
    </row>
    <row r="17" spans="1:5">
      <c r="A17" s="30" t="s">
        <v>8618</v>
      </c>
      <c r="E17" s="30" t="s">
        <v>8629</v>
      </c>
    </row>
    <row r="18" spans="1:5">
      <c r="A18" s="30" t="s">
        <v>8619</v>
      </c>
      <c r="E18" s="30" t="s">
        <v>8630</v>
      </c>
    </row>
    <row r="19" spans="1:5">
      <c r="A19" s="30" t="s">
        <v>8620</v>
      </c>
      <c r="E19" s="30" t="s">
        <v>8631</v>
      </c>
    </row>
    <row r="20" spans="1:5">
      <c r="A20" s="30" t="s">
        <v>8621</v>
      </c>
      <c r="E20" s="30" t="s">
        <v>8632</v>
      </c>
    </row>
    <row r="21" spans="1:5">
      <c r="A21" s="30" t="s">
        <v>8622</v>
      </c>
      <c r="E21" s="30" t="s">
        <v>8633</v>
      </c>
    </row>
    <row r="22" spans="1:5">
      <c r="A22" s="30" t="s">
        <v>8623</v>
      </c>
      <c r="E22" s="30" t="s">
        <v>8634</v>
      </c>
    </row>
    <row r="23" spans="1:5">
      <c r="A23" s="30" t="s">
        <v>8624</v>
      </c>
      <c r="E23" s="30" t="s">
        <v>8635</v>
      </c>
    </row>
    <row r="24" spans="1:5">
      <c r="A24" s="30" t="s">
        <v>8625</v>
      </c>
      <c r="E24" s="30" t="s">
        <v>8636</v>
      </c>
    </row>
    <row r="25" spans="1:5">
      <c r="A25" s="30" t="s">
        <v>8626</v>
      </c>
      <c r="E25" s="30" t="s">
        <v>8637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D35EF-16A1-4850-9E22-9A3CA188CF99}">
  <sheetPr codeName="Лист45">
    <tabColor rgb="FFFFFF00"/>
  </sheetPr>
  <dimension ref="A1:I48"/>
  <sheetViews>
    <sheetView topLeftCell="A26" workbookViewId="0">
      <selection activeCell="S56" sqref="S56"/>
    </sheetView>
  </sheetViews>
  <sheetFormatPr defaultRowHeight="15"/>
  <cols>
    <col min="1" max="16384" width="9.140625" style="6"/>
  </cols>
  <sheetData>
    <row r="1" spans="1:1" ht="18.75">
      <c r="A1" s="4" t="s">
        <v>2464</v>
      </c>
    </row>
    <row r="2" spans="1:1">
      <c r="A2" s="14" t="s">
        <v>2406</v>
      </c>
    </row>
    <row r="3" spans="1:1">
      <c r="A3" s="14"/>
    </row>
    <row r="4" spans="1:1">
      <c r="A4" s="3" t="s">
        <v>2465</v>
      </c>
    </row>
    <row r="5" spans="1:1">
      <c r="A5" s="5" t="s">
        <v>2466</v>
      </c>
    </row>
    <row r="6" spans="1:1">
      <c r="A6" s="5" t="s">
        <v>2467</v>
      </c>
    </row>
    <row r="7" spans="1:1">
      <c r="A7" s="5" t="s">
        <v>2468</v>
      </c>
    </row>
    <row r="8" spans="1:1">
      <c r="A8" s="5" t="s">
        <v>2469</v>
      </c>
    </row>
    <row r="9" spans="1:1">
      <c r="A9" s="5" t="s">
        <v>2470</v>
      </c>
    </row>
    <row r="10" spans="1:1">
      <c r="A10" s="5" t="s">
        <v>2471</v>
      </c>
    </row>
    <row r="11" spans="1:1">
      <c r="A11" s="5" t="s">
        <v>2472</v>
      </c>
    </row>
    <row r="12" spans="1:1">
      <c r="A12" s="5" t="s">
        <v>2473</v>
      </c>
    </row>
    <row r="13" spans="1:1">
      <c r="A13" s="5" t="s">
        <v>2474</v>
      </c>
    </row>
    <row r="14" spans="1:1">
      <c r="A14" s="5" t="s">
        <v>2475</v>
      </c>
    </row>
    <row r="15" spans="1:1">
      <c r="A15" s="5" t="s">
        <v>2476</v>
      </c>
    </row>
    <row r="16" spans="1:1">
      <c r="A16" s="5" t="s">
        <v>2477</v>
      </c>
    </row>
    <row r="17" spans="1:9">
      <c r="A17" s="5" t="s">
        <v>2478</v>
      </c>
    </row>
    <row r="18" spans="1:9">
      <c r="A18" s="5" t="s">
        <v>2479</v>
      </c>
    </row>
    <row r="19" spans="1:9">
      <c r="A19" s="5" t="s">
        <v>2480</v>
      </c>
    </row>
    <row r="20" spans="1:9">
      <c r="A20" s="5" t="s">
        <v>2481</v>
      </c>
    </row>
    <row r="21" spans="1:9">
      <c r="A21" s="5" t="s">
        <v>2482</v>
      </c>
    </row>
    <row r="22" spans="1:9">
      <c r="A22" s="5" t="s">
        <v>2483</v>
      </c>
    </row>
    <row r="23" spans="1:9">
      <c r="A23" s="5" t="s">
        <v>2484</v>
      </c>
    </row>
    <row r="24" spans="1:9">
      <c r="A24" s="5" t="s">
        <v>2485</v>
      </c>
    </row>
    <row r="25" spans="1:9">
      <c r="A25" s="5"/>
    </row>
    <row r="26" spans="1:9">
      <c r="A26" s="3" t="s">
        <v>2486</v>
      </c>
      <c r="E26" s="3" t="s">
        <v>2497</v>
      </c>
      <c r="I26" s="3" t="s">
        <v>2510</v>
      </c>
    </row>
    <row r="27" spans="1:9">
      <c r="A27" s="5" t="s">
        <v>2487</v>
      </c>
      <c r="E27" s="5" t="s">
        <v>2498</v>
      </c>
      <c r="I27" s="5" t="s">
        <v>2511</v>
      </c>
    </row>
    <row r="28" spans="1:9">
      <c r="A28" s="5" t="s">
        <v>2488</v>
      </c>
      <c r="E28" s="5" t="s">
        <v>2499</v>
      </c>
      <c r="I28" s="5" t="s">
        <v>2512</v>
      </c>
    </row>
    <row r="29" spans="1:9">
      <c r="A29" s="5" t="s">
        <v>2489</v>
      </c>
      <c r="E29" s="5" t="s">
        <v>2500</v>
      </c>
      <c r="I29" s="5" t="s">
        <v>2513</v>
      </c>
    </row>
    <row r="30" spans="1:9">
      <c r="A30" s="5" t="s">
        <v>2490</v>
      </c>
      <c r="E30" s="5" t="s">
        <v>2501</v>
      </c>
      <c r="I30" s="5" t="s">
        <v>2514</v>
      </c>
    </row>
    <row r="31" spans="1:9">
      <c r="A31" s="5" t="s">
        <v>2491</v>
      </c>
      <c r="E31" s="5" t="s">
        <v>2502</v>
      </c>
      <c r="I31" s="5" t="s">
        <v>2515</v>
      </c>
    </row>
    <row r="32" spans="1:9">
      <c r="A32" s="5" t="s">
        <v>2492</v>
      </c>
      <c r="E32" s="5" t="s">
        <v>2503</v>
      </c>
      <c r="I32" s="5" t="s">
        <v>2516</v>
      </c>
    </row>
    <row r="33" spans="1:9">
      <c r="A33" s="5" t="s">
        <v>2493</v>
      </c>
      <c r="E33" s="5" t="s">
        <v>2504</v>
      </c>
      <c r="I33" s="5" t="s">
        <v>2517</v>
      </c>
    </row>
    <row r="34" spans="1:9">
      <c r="A34" s="5" t="s">
        <v>2494</v>
      </c>
      <c r="E34" s="5" t="s">
        <v>2505</v>
      </c>
      <c r="I34" s="5" t="s">
        <v>2518</v>
      </c>
    </row>
    <row r="35" spans="1:9">
      <c r="A35" s="5" t="s">
        <v>2495</v>
      </c>
      <c r="E35" s="5" t="s">
        <v>2506</v>
      </c>
      <c r="I35" s="5" t="s">
        <v>2519</v>
      </c>
    </row>
    <row r="36" spans="1:9">
      <c r="A36" s="5" t="s">
        <v>2496</v>
      </c>
      <c r="E36" s="5" t="s">
        <v>2507</v>
      </c>
      <c r="I36" s="5" t="s">
        <v>2520</v>
      </c>
    </row>
    <row r="37" spans="1:9">
      <c r="E37" s="5" t="s">
        <v>2508</v>
      </c>
      <c r="I37" s="5" t="s">
        <v>2521</v>
      </c>
    </row>
    <row r="38" spans="1:9">
      <c r="E38" s="5" t="s">
        <v>2509</v>
      </c>
      <c r="I38" s="5" t="s">
        <v>2522</v>
      </c>
    </row>
    <row r="40" spans="1:9">
      <c r="A40" s="3" t="s">
        <v>2523</v>
      </c>
      <c r="E40" s="3" t="s">
        <v>2532</v>
      </c>
    </row>
    <row r="41" spans="1:9">
      <c r="A41" s="5" t="s">
        <v>2524</v>
      </c>
      <c r="E41" s="5" t="s">
        <v>2533</v>
      </c>
    </row>
    <row r="42" spans="1:9">
      <c r="A42" s="5" t="s">
        <v>2525</v>
      </c>
      <c r="E42" s="5" t="s">
        <v>2534</v>
      </c>
    </row>
    <row r="43" spans="1:9">
      <c r="A43" s="5" t="s">
        <v>2526</v>
      </c>
      <c r="E43" s="5" t="s">
        <v>2535</v>
      </c>
    </row>
    <row r="44" spans="1:9">
      <c r="A44" s="5" t="s">
        <v>2527</v>
      </c>
      <c r="E44" s="5" t="s">
        <v>2536</v>
      </c>
    </row>
    <row r="45" spans="1:9">
      <c r="A45" s="5" t="s">
        <v>2528</v>
      </c>
      <c r="E45" s="5" t="s">
        <v>2537</v>
      </c>
    </row>
    <row r="46" spans="1:9">
      <c r="A46" s="5" t="s">
        <v>2529</v>
      </c>
      <c r="E46" s="5" t="s">
        <v>2538</v>
      </c>
    </row>
    <row r="47" spans="1:9">
      <c r="A47" s="5" t="s">
        <v>2530</v>
      </c>
    </row>
    <row r="48" spans="1:9">
      <c r="A48" s="5" t="s">
        <v>2531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53224-0A7A-41BC-9A17-2EC4CDC51B5C}">
  <sheetPr codeName="Лист46">
    <tabColor rgb="FFFFFF00"/>
  </sheetPr>
  <dimension ref="A1:I100"/>
  <sheetViews>
    <sheetView topLeftCell="A73" workbookViewId="0">
      <selection activeCell="O103" sqref="O103"/>
    </sheetView>
  </sheetViews>
  <sheetFormatPr defaultRowHeight="15"/>
  <cols>
    <col min="1" max="16384" width="9.140625" style="6"/>
  </cols>
  <sheetData>
    <row r="1" spans="1:9" ht="18.75">
      <c r="A1" s="4" t="s">
        <v>2539</v>
      </c>
    </row>
    <row r="2" spans="1:9">
      <c r="A2" s="14" t="s">
        <v>2182</v>
      </c>
    </row>
    <row r="3" spans="1:9">
      <c r="A3" s="14"/>
    </row>
    <row r="4" spans="1:9">
      <c r="A4" s="3" t="s">
        <v>2540</v>
      </c>
      <c r="E4" s="3" t="s">
        <v>2551</v>
      </c>
      <c r="I4" s="3" t="s">
        <v>2564</v>
      </c>
    </row>
    <row r="5" spans="1:9">
      <c r="A5" s="5" t="s">
        <v>2541</v>
      </c>
      <c r="E5" s="5" t="s">
        <v>2552</v>
      </c>
      <c r="I5" s="5" t="s">
        <v>2565</v>
      </c>
    </row>
    <row r="6" spans="1:9">
      <c r="A6" s="5" t="s">
        <v>2542</v>
      </c>
      <c r="E6" s="5" t="s">
        <v>2553</v>
      </c>
      <c r="I6" s="5" t="s">
        <v>2566</v>
      </c>
    </row>
    <row r="7" spans="1:9">
      <c r="A7" s="5" t="s">
        <v>2543</v>
      </c>
      <c r="E7" s="5" t="s">
        <v>2554</v>
      </c>
      <c r="I7" s="5" t="s">
        <v>2567</v>
      </c>
    </row>
    <row r="8" spans="1:9">
      <c r="A8" s="5" t="s">
        <v>2544</v>
      </c>
      <c r="E8" s="5" t="s">
        <v>2555</v>
      </c>
      <c r="I8" s="5" t="s">
        <v>2568</v>
      </c>
    </row>
    <row r="9" spans="1:9">
      <c r="A9" s="5" t="s">
        <v>2545</v>
      </c>
      <c r="E9" s="5" t="s">
        <v>2556</v>
      </c>
      <c r="I9" s="5" t="s">
        <v>2569</v>
      </c>
    </row>
    <row r="10" spans="1:9">
      <c r="A10" s="5" t="s">
        <v>2546</v>
      </c>
      <c r="E10" s="5" t="s">
        <v>2557</v>
      </c>
      <c r="I10" s="5" t="s">
        <v>2570</v>
      </c>
    </row>
    <row r="11" spans="1:9">
      <c r="A11" s="5" t="s">
        <v>2547</v>
      </c>
      <c r="E11" s="5" t="s">
        <v>2558</v>
      </c>
    </row>
    <row r="12" spans="1:9">
      <c r="A12" s="5" t="s">
        <v>2548</v>
      </c>
      <c r="E12" s="5" t="s">
        <v>2559</v>
      </c>
    </row>
    <row r="13" spans="1:9">
      <c r="A13" s="5" t="s">
        <v>2549</v>
      </c>
      <c r="E13" s="5" t="s">
        <v>2560</v>
      </c>
    </row>
    <row r="14" spans="1:9">
      <c r="A14" s="5" t="s">
        <v>2550</v>
      </c>
      <c r="E14" s="5" t="s">
        <v>2561</v>
      </c>
    </row>
    <row r="15" spans="1:9">
      <c r="E15" s="5" t="s">
        <v>2562</v>
      </c>
    </row>
    <row r="16" spans="1:9">
      <c r="E16" s="5" t="s">
        <v>2563</v>
      </c>
    </row>
    <row r="18" spans="1:5">
      <c r="A18" s="3" t="s">
        <v>2571</v>
      </c>
      <c r="E18" s="3" t="s">
        <v>2578</v>
      </c>
    </row>
    <row r="19" spans="1:5">
      <c r="A19" s="5" t="s">
        <v>2572</v>
      </c>
      <c r="E19" s="5" t="s">
        <v>2207</v>
      </c>
    </row>
    <row r="20" spans="1:5">
      <c r="A20" s="5" t="s">
        <v>2573</v>
      </c>
      <c r="E20" s="5" t="s">
        <v>2579</v>
      </c>
    </row>
    <row r="21" spans="1:5">
      <c r="A21" s="5" t="s">
        <v>2574</v>
      </c>
      <c r="E21" s="5" t="s">
        <v>2580</v>
      </c>
    </row>
    <row r="22" spans="1:5">
      <c r="A22" s="5" t="s">
        <v>2575</v>
      </c>
      <c r="E22" s="5" t="s">
        <v>2581</v>
      </c>
    </row>
    <row r="23" spans="1:5">
      <c r="A23" s="5" t="s">
        <v>2576</v>
      </c>
      <c r="E23" s="5" t="s">
        <v>2582</v>
      </c>
    </row>
    <row r="24" spans="1:5">
      <c r="A24" s="5" t="s">
        <v>2577</v>
      </c>
      <c r="E24" s="5" t="s">
        <v>2583</v>
      </c>
    </row>
    <row r="26" spans="1:5">
      <c r="A26" s="3" t="s">
        <v>2584</v>
      </c>
    </row>
    <row r="27" spans="1:5">
      <c r="A27" s="3" t="s">
        <v>2585</v>
      </c>
      <c r="E27" s="3" t="s">
        <v>2587</v>
      </c>
    </row>
    <row r="28" spans="1:5">
      <c r="A28" s="5" t="s">
        <v>2586</v>
      </c>
      <c r="E28" s="5" t="s">
        <v>2588</v>
      </c>
    </row>
    <row r="29" spans="1:5">
      <c r="A29" s="5" t="s">
        <v>274</v>
      </c>
      <c r="E29" s="5" t="s">
        <v>2589</v>
      </c>
    </row>
    <row r="30" spans="1:5">
      <c r="A30" s="5" t="s">
        <v>306</v>
      </c>
      <c r="E30" s="5" t="s">
        <v>2590</v>
      </c>
    </row>
    <row r="31" spans="1:5">
      <c r="A31" s="5" t="s">
        <v>307</v>
      </c>
      <c r="E31" s="5" t="s">
        <v>2591</v>
      </c>
    </row>
    <row r="32" spans="1:5">
      <c r="A32" s="5" t="s">
        <v>308</v>
      </c>
      <c r="E32" s="5" t="s">
        <v>2225</v>
      </c>
    </row>
    <row r="33" spans="1:9">
      <c r="A33" s="5" t="s">
        <v>309</v>
      </c>
      <c r="E33" s="5" t="s">
        <v>2592</v>
      </c>
    </row>
    <row r="35" spans="1:9">
      <c r="A35" s="3" t="s">
        <v>2598</v>
      </c>
      <c r="E35" s="3" t="s">
        <v>2593</v>
      </c>
    </row>
    <row r="36" spans="1:9">
      <c r="A36" s="5" t="s">
        <v>310</v>
      </c>
      <c r="E36" s="5" t="s">
        <v>2594</v>
      </c>
    </row>
    <row r="37" spans="1:9">
      <c r="A37" s="5" t="s">
        <v>311</v>
      </c>
      <c r="E37" s="5" t="s">
        <v>2595</v>
      </c>
    </row>
    <row r="38" spans="1:9">
      <c r="A38" s="5" t="s">
        <v>312</v>
      </c>
      <c r="E38" s="5" t="s">
        <v>2596</v>
      </c>
    </row>
    <row r="39" spans="1:9">
      <c r="A39" s="5" t="s">
        <v>313</v>
      </c>
      <c r="E39" s="5" t="s">
        <v>2597</v>
      </c>
    </row>
    <row r="40" spans="1:9">
      <c r="A40" s="5" t="s">
        <v>314</v>
      </c>
    </row>
    <row r="41" spans="1:9">
      <c r="A41" s="5" t="s">
        <v>315</v>
      </c>
    </row>
    <row r="42" spans="1:9">
      <c r="A42" s="5"/>
    </row>
    <row r="43" spans="1:9">
      <c r="A43" s="3" t="s">
        <v>2599</v>
      </c>
    </row>
    <row r="44" spans="1:9">
      <c r="A44" s="3" t="s">
        <v>2600</v>
      </c>
      <c r="E44" s="3" t="s">
        <v>2606</v>
      </c>
      <c r="I44" s="3" t="s">
        <v>2607</v>
      </c>
    </row>
    <row r="45" spans="1:9">
      <c r="A45" s="5" t="s">
        <v>265</v>
      </c>
      <c r="E45" s="5" t="s">
        <v>267</v>
      </c>
      <c r="I45" s="5" t="s">
        <v>271</v>
      </c>
    </row>
    <row r="46" spans="1:9">
      <c r="A46" s="5" t="s">
        <v>2601</v>
      </c>
      <c r="E46" s="5" t="s">
        <v>268</v>
      </c>
      <c r="I46" s="5" t="s">
        <v>272</v>
      </c>
    </row>
    <row r="47" spans="1:9">
      <c r="A47" s="5" t="s">
        <v>2602</v>
      </c>
      <c r="E47" s="5" t="s">
        <v>269</v>
      </c>
      <c r="I47" s="5" t="s">
        <v>273</v>
      </c>
    </row>
    <row r="48" spans="1:9">
      <c r="A48" s="5" t="s">
        <v>2603</v>
      </c>
      <c r="E48" s="5" t="s">
        <v>270</v>
      </c>
      <c r="I48" s="5" t="s">
        <v>2608</v>
      </c>
    </row>
    <row r="49" spans="1:9">
      <c r="A49" s="5" t="s">
        <v>2604</v>
      </c>
    </row>
    <row r="50" spans="1:9">
      <c r="A50" s="5" t="s">
        <v>2605</v>
      </c>
    </row>
    <row r="52" spans="1:9">
      <c r="A52" s="3" t="s">
        <v>2609</v>
      </c>
    </row>
    <row r="53" spans="1:9">
      <c r="A53" s="3" t="s">
        <v>2610</v>
      </c>
      <c r="E53" s="3" t="s">
        <v>2614</v>
      </c>
      <c r="I53" s="3" t="s">
        <v>2618</v>
      </c>
    </row>
    <row r="54" spans="1:9">
      <c r="A54" s="5" t="s">
        <v>2611</v>
      </c>
      <c r="E54" s="5" t="s">
        <v>2615</v>
      </c>
      <c r="I54" s="5" t="s">
        <v>2619</v>
      </c>
    </row>
    <row r="55" spans="1:9">
      <c r="A55" s="5" t="s">
        <v>319</v>
      </c>
      <c r="E55" s="5" t="s">
        <v>2616</v>
      </c>
      <c r="I55" s="5" t="s">
        <v>2300</v>
      </c>
    </row>
    <row r="56" spans="1:9">
      <c r="A56" s="5" t="s">
        <v>2612</v>
      </c>
      <c r="E56" s="5" t="s">
        <v>2617</v>
      </c>
      <c r="I56" s="5" t="s">
        <v>2620</v>
      </c>
    </row>
    <row r="57" spans="1:9">
      <c r="A57" s="5" t="s">
        <v>2613</v>
      </c>
      <c r="E57" s="5" t="s">
        <v>281</v>
      </c>
      <c r="I57" s="5" t="s">
        <v>2621</v>
      </c>
    </row>
    <row r="59" spans="1:9">
      <c r="A59" s="3" t="s">
        <v>2622</v>
      </c>
    </row>
    <row r="60" spans="1:9">
      <c r="A60" s="3" t="s">
        <v>2623</v>
      </c>
      <c r="E60" s="3" t="s">
        <v>2626</v>
      </c>
      <c r="I60" s="3" t="s">
        <v>2629</v>
      </c>
    </row>
    <row r="61" spans="1:9">
      <c r="A61" s="5" t="s">
        <v>283</v>
      </c>
      <c r="E61" s="5" t="s">
        <v>2627</v>
      </c>
      <c r="I61" s="5" t="s">
        <v>289</v>
      </c>
    </row>
    <row r="62" spans="1:9">
      <c r="A62" s="5" t="s">
        <v>2624</v>
      </c>
      <c r="E62" s="5" t="s">
        <v>2628</v>
      </c>
      <c r="I62" s="5" t="s">
        <v>2630</v>
      </c>
    </row>
    <row r="63" spans="1:9">
      <c r="A63" s="5" t="s">
        <v>2625</v>
      </c>
      <c r="E63" s="5" t="s">
        <v>286</v>
      </c>
      <c r="I63" s="5" t="s">
        <v>2631</v>
      </c>
    </row>
    <row r="64" spans="1:9">
      <c r="A64" s="5" t="s">
        <v>284</v>
      </c>
      <c r="E64" s="5" t="s">
        <v>287</v>
      </c>
      <c r="I64" s="5" t="s">
        <v>290</v>
      </c>
    </row>
    <row r="66" spans="1:9">
      <c r="A66" s="3" t="s">
        <v>2632</v>
      </c>
    </row>
    <row r="67" spans="1:9">
      <c r="A67" s="3" t="s">
        <v>2633</v>
      </c>
      <c r="E67" s="3" t="s">
        <v>2637</v>
      </c>
      <c r="I67" s="3" t="s">
        <v>2639</v>
      </c>
    </row>
    <row r="68" spans="1:9">
      <c r="A68" s="5" t="s">
        <v>2153</v>
      </c>
      <c r="E68" s="5" t="s">
        <v>291</v>
      </c>
      <c r="I68" s="5" t="s">
        <v>2640</v>
      </c>
    </row>
    <row r="69" spans="1:9">
      <c r="A69" s="5" t="s">
        <v>2634</v>
      </c>
      <c r="E69" s="5" t="s">
        <v>2638</v>
      </c>
      <c r="I69" s="5" t="s">
        <v>2641</v>
      </c>
    </row>
    <row r="70" spans="1:9">
      <c r="A70" s="5" t="s">
        <v>2635</v>
      </c>
      <c r="E70" s="5" t="s">
        <v>292</v>
      </c>
      <c r="I70" s="5" t="s">
        <v>2642</v>
      </c>
    </row>
    <row r="71" spans="1:9">
      <c r="A71" s="5" t="s">
        <v>2636</v>
      </c>
      <c r="E71" s="5" t="s">
        <v>293</v>
      </c>
      <c r="I71" s="5" t="s">
        <v>2643</v>
      </c>
    </row>
    <row r="73" spans="1:9">
      <c r="A73" s="3" t="s">
        <v>2644</v>
      </c>
    </row>
    <row r="74" spans="1:9">
      <c r="A74" s="3" t="s">
        <v>2645</v>
      </c>
      <c r="E74" s="3" t="s">
        <v>305</v>
      </c>
      <c r="I74" s="3" t="s">
        <v>2651</v>
      </c>
    </row>
    <row r="75" spans="1:9">
      <c r="A75" s="5" t="s">
        <v>2646</v>
      </c>
      <c r="E75" s="5" t="s">
        <v>316</v>
      </c>
      <c r="I75" s="5" t="s">
        <v>279</v>
      </c>
    </row>
    <row r="76" spans="1:9">
      <c r="A76" s="5" t="s">
        <v>275</v>
      </c>
      <c r="E76" s="5" t="s">
        <v>317</v>
      </c>
      <c r="I76" s="5" t="s">
        <v>2251</v>
      </c>
    </row>
    <row r="77" spans="1:9">
      <c r="A77" s="5" t="s">
        <v>2647</v>
      </c>
      <c r="E77" s="5" t="s">
        <v>318</v>
      </c>
      <c r="I77" s="5" t="s">
        <v>2652</v>
      </c>
    </row>
    <row r="78" spans="1:9">
      <c r="A78" s="5" t="s">
        <v>276</v>
      </c>
      <c r="E78" s="5" t="s">
        <v>2650</v>
      </c>
      <c r="I78" s="5" t="s">
        <v>2653</v>
      </c>
    </row>
    <row r="79" spans="1:9">
      <c r="A79" s="5" t="s">
        <v>277</v>
      </c>
      <c r="I79" s="5" t="s">
        <v>2654</v>
      </c>
    </row>
    <row r="80" spans="1:9">
      <c r="A80" s="5" t="s">
        <v>278</v>
      </c>
      <c r="I80" s="5" t="s">
        <v>280</v>
      </c>
    </row>
    <row r="81" spans="1:9">
      <c r="A81" s="5" t="s">
        <v>2648</v>
      </c>
    </row>
    <row r="82" spans="1:9">
      <c r="A82" s="5" t="s">
        <v>2649</v>
      </c>
    </row>
    <row r="84" spans="1:9">
      <c r="A84" s="3" t="s">
        <v>299</v>
      </c>
    </row>
    <row r="85" spans="1:9">
      <c r="A85" s="3" t="s">
        <v>2655</v>
      </c>
    </row>
    <row r="86" spans="1:9">
      <c r="A86" s="5" t="s">
        <v>2264</v>
      </c>
    </row>
    <row r="87" spans="1:9">
      <c r="A87" s="5" t="s">
        <v>2656</v>
      </c>
    </row>
    <row r="88" spans="1:9">
      <c r="A88" s="5" t="s">
        <v>2657</v>
      </c>
    </row>
    <row r="89" spans="1:9">
      <c r="A89" s="5" t="s">
        <v>2658</v>
      </c>
    </row>
    <row r="90" spans="1:9">
      <c r="A90" s="5" t="s">
        <v>2659</v>
      </c>
    </row>
    <row r="91" spans="1:9">
      <c r="A91" s="5" t="s">
        <v>780</v>
      </c>
    </row>
    <row r="92" spans="1:9">
      <c r="A92" s="5"/>
    </row>
    <row r="93" spans="1:9">
      <c r="A93" s="3" t="s">
        <v>2660</v>
      </c>
    </row>
    <row r="94" spans="1:9">
      <c r="A94" s="3" t="s">
        <v>2311</v>
      </c>
      <c r="E94" s="3" t="s">
        <v>2666</v>
      </c>
      <c r="I94" s="3" t="s">
        <v>2323</v>
      </c>
    </row>
    <row r="95" spans="1:9">
      <c r="A95" s="5" t="s">
        <v>2661</v>
      </c>
      <c r="E95" s="5" t="s">
        <v>2667</v>
      </c>
      <c r="I95" s="5" t="s">
        <v>2671</v>
      </c>
    </row>
    <row r="96" spans="1:9">
      <c r="A96" s="5" t="s">
        <v>704</v>
      </c>
      <c r="E96" s="5" t="s">
        <v>2668</v>
      </c>
      <c r="I96" s="5" t="s">
        <v>2672</v>
      </c>
    </row>
    <row r="97" spans="1:9">
      <c r="A97" s="5" t="s">
        <v>2662</v>
      </c>
      <c r="E97" s="5" t="s">
        <v>2669</v>
      </c>
      <c r="I97" s="5" t="s">
        <v>2325</v>
      </c>
    </row>
    <row r="98" spans="1:9">
      <c r="A98" s="5" t="s">
        <v>2663</v>
      </c>
      <c r="E98" s="5" t="s">
        <v>2670</v>
      </c>
      <c r="I98" s="5" t="s">
        <v>2326</v>
      </c>
    </row>
    <row r="99" spans="1:9">
      <c r="A99" s="5" t="s">
        <v>2664</v>
      </c>
    </row>
    <row r="100" spans="1:9">
      <c r="A100" s="5" t="s">
        <v>2665</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7F58-0228-4708-9C12-86A6376C1357}">
  <sheetPr codeName="Лист47">
    <tabColor rgb="FFFFFF00"/>
  </sheetPr>
  <dimension ref="A1:I76"/>
  <sheetViews>
    <sheetView topLeftCell="A42" workbookViewId="0">
      <selection activeCell="C74" sqref="C74"/>
    </sheetView>
  </sheetViews>
  <sheetFormatPr defaultRowHeight="15"/>
  <cols>
    <col min="1" max="16384" width="9.140625" style="6"/>
  </cols>
  <sheetData>
    <row r="1" spans="1:9" ht="18.75">
      <c r="A1" s="4" t="s">
        <v>2892</v>
      </c>
    </row>
    <row r="2" spans="1:9">
      <c r="A2" s="14" t="s">
        <v>629</v>
      </c>
    </row>
    <row r="3" spans="1:9">
      <c r="A3" s="14"/>
    </row>
    <row r="4" spans="1:9">
      <c r="A4" s="3" t="s">
        <v>2893</v>
      </c>
      <c r="E4" s="3" t="s">
        <v>2894</v>
      </c>
      <c r="I4" s="3" t="s">
        <v>2912</v>
      </c>
    </row>
    <row r="5" spans="1:9">
      <c r="A5" s="5" t="s">
        <v>330</v>
      </c>
      <c r="E5" s="5" t="s">
        <v>1176</v>
      </c>
      <c r="I5" s="5" t="s">
        <v>2586</v>
      </c>
    </row>
    <row r="6" spans="1:9">
      <c r="A6" s="5" t="s">
        <v>331</v>
      </c>
      <c r="E6" s="5" t="s">
        <v>2895</v>
      </c>
      <c r="I6" s="5" t="s">
        <v>1554</v>
      </c>
    </row>
    <row r="7" spans="1:9">
      <c r="A7" s="5" t="s">
        <v>332</v>
      </c>
      <c r="E7" s="5" t="s">
        <v>1759</v>
      </c>
      <c r="I7" s="5" t="s">
        <v>1555</v>
      </c>
    </row>
    <row r="8" spans="1:9">
      <c r="A8" s="5" t="s">
        <v>333</v>
      </c>
      <c r="E8" s="5" t="s">
        <v>2896</v>
      </c>
      <c r="I8" s="5" t="s">
        <v>1556</v>
      </c>
    </row>
    <row r="9" spans="1:9">
      <c r="A9" s="5" t="s">
        <v>334</v>
      </c>
      <c r="E9" s="5" t="s">
        <v>1333</v>
      </c>
      <c r="I9" s="5" t="s">
        <v>1557</v>
      </c>
    </row>
    <row r="10" spans="1:9">
      <c r="A10" s="5" t="s">
        <v>335</v>
      </c>
      <c r="E10" s="5" t="s">
        <v>2897</v>
      </c>
      <c r="I10" s="5" t="s">
        <v>103</v>
      </c>
    </row>
    <row r="11" spans="1:9">
      <c r="A11" s="5" t="s">
        <v>336</v>
      </c>
      <c r="E11" s="5" t="s">
        <v>2898</v>
      </c>
      <c r="I11" s="5" t="s">
        <v>2913</v>
      </c>
    </row>
    <row r="12" spans="1:9">
      <c r="A12" s="5" t="s">
        <v>337</v>
      </c>
      <c r="E12" s="5" t="s">
        <v>2899</v>
      </c>
      <c r="I12" s="5" t="s">
        <v>2914</v>
      </c>
    </row>
    <row r="13" spans="1:9">
      <c r="A13" s="5" t="s">
        <v>338</v>
      </c>
      <c r="E13" s="5" t="s">
        <v>2900</v>
      </c>
      <c r="I13" s="5" t="s">
        <v>2915</v>
      </c>
    </row>
    <row r="14" spans="1:9">
      <c r="A14" s="5" t="s">
        <v>339</v>
      </c>
      <c r="E14" s="5" t="s">
        <v>2901</v>
      </c>
      <c r="I14" s="5" t="s">
        <v>2916</v>
      </c>
    </row>
    <row r="15" spans="1:9">
      <c r="A15" s="5" t="s">
        <v>340</v>
      </c>
      <c r="E15" s="5" t="s">
        <v>2902</v>
      </c>
    </row>
    <row r="16" spans="1:9">
      <c r="A16" s="5" t="s">
        <v>341</v>
      </c>
      <c r="E16" s="5" t="s">
        <v>2903</v>
      </c>
      <c r="I16" s="3" t="s">
        <v>2917</v>
      </c>
    </row>
    <row r="17" spans="1:9">
      <c r="A17" s="5" t="s">
        <v>342</v>
      </c>
      <c r="E17" s="5" t="s">
        <v>2904</v>
      </c>
      <c r="I17" s="5" t="s">
        <v>1565</v>
      </c>
    </row>
    <row r="18" spans="1:9">
      <c r="A18" s="5" t="s">
        <v>343</v>
      </c>
      <c r="E18" s="5" t="s">
        <v>2905</v>
      </c>
      <c r="I18" s="5" t="s">
        <v>1566</v>
      </c>
    </row>
    <row r="19" spans="1:9">
      <c r="A19" s="5" t="s">
        <v>344</v>
      </c>
      <c r="E19" s="5" t="s">
        <v>2906</v>
      </c>
      <c r="I19" s="11" t="s">
        <v>2918</v>
      </c>
    </row>
    <row r="20" spans="1:9">
      <c r="A20" s="5" t="s">
        <v>345</v>
      </c>
      <c r="E20" s="5" t="s">
        <v>2907</v>
      </c>
      <c r="I20" s="11" t="s">
        <v>2919</v>
      </c>
    </row>
    <row r="21" spans="1:9">
      <c r="A21" s="5" t="s">
        <v>346</v>
      </c>
      <c r="E21" s="5" t="s">
        <v>2908</v>
      </c>
      <c r="I21" s="5" t="s">
        <v>2920</v>
      </c>
    </row>
    <row r="22" spans="1:9">
      <c r="A22" s="5" t="s">
        <v>347</v>
      </c>
      <c r="E22" s="5" t="s">
        <v>2909</v>
      </c>
      <c r="I22" s="11" t="s">
        <v>2921</v>
      </c>
    </row>
    <row r="23" spans="1:9">
      <c r="A23" s="5" t="s">
        <v>348</v>
      </c>
      <c r="E23" s="5" t="s">
        <v>2910</v>
      </c>
    </row>
    <row r="24" spans="1:9">
      <c r="A24" s="5" t="s">
        <v>349</v>
      </c>
      <c r="E24" s="5" t="s">
        <v>2911</v>
      </c>
    </row>
    <row r="26" spans="1:9">
      <c r="A26" s="3" t="s">
        <v>2922</v>
      </c>
      <c r="E26" s="3" t="s">
        <v>2931</v>
      </c>
      <c r="I26" s="3" t="s">
        <v>2939</v>
      </c>
    </row>
    <row r="27" spans="1:9">
      <c r="A27" s="5" t="s">
        <v>2923</v>
      </c>
      <c r="E27" s="11" t="s">
        <v>2932</v>
      </c>
      <c r="I27" s="5" t="s">
        <v>2940</v>
      </c>
    </row>
    <row r="28" spans="1:9">
      <c r="A28" s="5" t="s">
        <v>2924</v>
      </c>
      <c r="E28" s="11" t="s">
        <v>2933</v>
      </c>
      <c r="I28" s="5" t="s">
        <v>2941</v>
      </c>
    </row>
    <row r="29" spans="1:9">
      <c r="A29" s="5" t="s">
        <v>2925</v>
      </c>
      <c r="E29" s="11" t="s">
        <v>2934</v>
      </c>
      <c r="I29" s="5" t="s">
        <v>2942</v>
      </c>
    </row>
    <row r="30" spans="1:9">
      <c r="A30" s="5" t="s">
        <v>2926</v>
      </c>
      <c r="E30" s="11" t="s">
        <v>2935</v>
      </c>
      <c r="I30" s="5" t="s">
        <v>2943</v>
      </c>
    </row>
    <row r="31" spans="1:9">
      <c r="A31" s="5" t="s">
        <v>2927</v>
      </c>
      <c r="E31" s="5" t="s">
        <v>2936</v>
      </c>
      <c r="I31" s="5" t="s">
        <v>2944</v>
      </c>
    </row>
    <row r="32" spans="1:9">
      <c r="A32" s="5" t="s">
        <v>2928</v>
      </c>
      <c r="E32" s="5" t="s">
        <v>1296</v>
      </c>
      <c r="I32" s="5" t="s">
        <v>2945</v>
      </c>
    </row>
    <row r="33" spans="1:5">
      <c r="A33" s="5" t="s">
        <v>2929</v>
      </c>
      <c r="E33" s="11" t="s">
        <v>2937</v>
      </c>
    </row>
    <row r="34" spans="1:5">
      <c r="A34" s="11" t="s">
        <v>2930</v>
      </c>
      <c r="E34" s="5" t="s">
        <v>2938</v>
      </c>
    </row>
    <row r="36" spans="1:5">
      <c r="A36" s="3" t="s">
        <v>2946</v>
      </c>
      <c r="E36" s="3" t="s">
        <v>2956</v>
      </c>
    </row>
    <row r="37" spans="1:5">
      <c r="A37" s="5" t="s">
        <v>1590</v>
      </c>
      <c r="E37" s="5" t="s">
        <v>2957</v>
      </c>
    </row>
    <row r="38" spans="1:5">
      <c r="A38" s="5" t="s">
        <v>1591</v>
      </c>
      <c r="E38" s="5" t="s">
        <v>2958</v>
      </c>
    </row>
    <row r="39" spans="1:5">
      <c r="A39" s="5" t="s">
        <v>1592</v>
      </c>
      <c r="E39" s="5" t="s">
        <v>2959</v>
      </c>
    </row>
    <row r="40" spans="1:5">
      <c r="A40" s="5" t="s">
        <v>2947</v>
      </c>
      <c r="E40" s="5" t="s">
        <v>2960</v>
      </c>
    </row>
    <row r="41" spans="1:5">
      <c r="A41" s="5" t="s">
        <v>2948</v>
      </c>
      <c r="E41" s="5" t="s">
        <v>2961</v>
      </c>
    </row>
    <row r="42" spans="1:5">
      <c r="A42" s="5" t="s">
        <v>2949</v>
      </c>
      <c r="E42" s="5" t="s">
        <v>2962</v>
      </c>
    </row>
    <row r="43" spans="1:5">
      <c r="A43" s="5" t="s">
        <v>2950</v>
      </c>
      <c r="E43" s="5" t="s">
        <v>2963</v>
      </c>
    </row>
    <row r="44" spans="1:5">
      <c r="A44" s="5" t="s">
        <v>2951</v>
      </c>
      <c r="E44" s="5" t="s">
        <v>2964</v>
      </c>
    </row>
    <row r="45" spans="1:5">
      <c r="A45" s="5" t="s">
        <v>2952</v>
      </c>
    </row>
    <row r="46" spans="1:5">
      <c r="A46" s="5" t="s">
        <v>2953</v>
      </c>
    </row>
    <row r="47" spans="1:5">
      <c r="A47" s="5" t="s">
        <v>2954</v>
      </c>
    </row>
    <row r="48" spans="1:5">
      <c r="A48" s="5" t="s">
        <v>2955</v>
      </c>
    </row>
    <row r="50" spans="1:9">
      <c r="A50" s="3" t="s">
        <v>2965</v>
      </c>
    </row>
    <row r="51" spans="1:9">
      <c r="A51" s="3"/>
    </row>
    <row r="52" spans="1:9">
      <c r="A52" s="3" t="s">
        <v>2966</v>
      </c>
      <c r="E52" s="3" t="s">
        <v>2975</v>
      </c>
      <c r="I52" s="3" t="s">
        <v>2987</v>
      </c>
    </row>
    <row r="53" spans="1:9">
      <c r="A53" s="5" t="s">
        <v>1644</v>
      </c>
      <c r="E53" s="5" t="s">
        <v>265</v>
      </c>
      <c r="I53" s="5" t="s">
        <v>1660</v>
      </c>
    </row>
    <row r="54" spans="1:9">
      <c r="A54" s="5" t="s">
        <v>1645</v>
      </c>
      <c r="E54" s="5" t="s">
        <v>2976</v>
      </c>
      <c r="I54" s="5" t="s">
        <v>2988</v>
      </c>
    </row>
    <row r="55" spans="1:9">
      <c r="A55" s="5" t="s">
        <v>2967</v>
      </c>
      <c r="E55" s="5" t="s">
        <v>2977</v>
      </c>
      <c r="I55" s="5" t="s">
        <v>2989</v>
      </c>
    </row>
    <row r="56" spans="1:9">
      <c r="A56" s="5" t="s">
        <v>2968</v>
      </c>
      <c r="E56" s="5" t="s">
        <v>2978</v>
      </c>
      <c r="I56" s="5" t="s">
        <v>2990</v>
      </c>
    </row>
    <row r="57" spans="1:9">
      <c r="A57" s="5" t="s">
        <v>277</v>
      </c>
      <c r="E57" s="5" t="s">
        <v>2979</v>
      </c>
      <c r="I57" s="5" t="s">
        <v>2991</v>
      </c>
    </row>
    <row r="58" spans="1:9">
      <c r="A58" s="5" t="s">
        <v>2969</v>
      </c>
      <c r="E58" s="5" t="s">
        <v>2980</v>
      </c>
      <c r="I58" s="5" t="s">
        <v>2992</v>
      </c>
    </row>
    <row r="59" spans="1:9">
      <c r="A59" s="5" t="s">
        <v>2970</v>
      </c>
      <c r="E59" s="5" t="s">
        <v>2981</v>
      </c>
      <c r="I59" s="5" t="s">
        <v>2993</v>
      </c>
    </row>
    <row r="60" spans="1:9">
      <c r="A60" s="5" t="s">
        <v>2971</v>
      </c>
      <c r="E60" s="5" t="s">
        <v>2982</v>
      </c>
      <c r="I60" s="5" t="s">
        <v>2994</v>
      </c>
    </row>
    <row r="61" spans="1:9">
      <c r="A61" s="5" t="s">
        <v>2972</v>
      </c>
      <c r="E61" s="5" t="s">
        <v>2983</v>
      </c>
      <c r="I61" s="5" t="s">
        <v>2995</v>
      </c>
    </row>
    <row r="62" spans="1:9">
      <c r="A62" s="11" t="s">
        <v>2973</v>
      </c>
      <c r="E62" s="11" t="s">
        <v>2984</v>
      </c>
      <c r="I62" s="5" t="s">
        <v>2996</v>
      </c>
    </row>
    <row r="63" spans="1:9">
      <c r="A63" s="11" t="s">
        <v>2974</v>
      </c>
      <c r="E63" s="11" t="s">
        <v>2985</v>
      </c>
      <c r="I63" s="5" t="s">
        <v>2758</v>
      </c>
    </row>
    <row r="64" spans="1:9">
      <c r="A64" s="11" t="s">
        <v>2754</v>
      </c>
      <c r="E64" s="11" t="s">
        <v>2986</v>
      </c>
      <c r="I64" s="11" t="s">
        <v>2997</v>
      </c>
    </row>
    <row r="66" spans="1:1">
      <c r="A66" s="3" t="s">
        <v>2998</v>
      </c>
    </row>
    <row r="67" spans="1:1">
      <c r="A67" s="5" t="s">
        <v>1673</v>
      </c>
    </row>
    <row r="68" spans="1:1">
      <c r="A68" s="5" t="s">
        <v>1633</v>
      </c>
    </row>
    <row r="69" spans="1:1">
      <c r="A69" s="5" t="s">
        <v>1634</v>
      </c>
    </row>
    <row r="70" spans="1:1">
      <c r="A70" s="5" t="s">
        <v>1635</v>
      </c>
    </row>
    <row r="71" spans="1:1">
      <c r="A71" s="5" t="s">
        <v>2284</v>
      </c>
    </row>
    <row r="72" spans="1:1">
      <c r="A72" s="5" t="s">
        <v>2999</v>
      </c>
    </row>
    <row r="73" spans="1:1">
      <c r="A73" s="5" t="s">
        <v>3000</v>
      </c>
    </row>
    <row r="74" spans="1:1">
      <c r="A74" s="5" t="s">
        <v>3001</v>
      </c>
    </row>
    <row r="75" spans="1:1">
      <c r="A75" s="5" t="s">
        <v>3002</v>
      </c>
    </row>
    <row r="76" spans="1:1">
      <c r="A76" s="5" t="s">
        <v>3003</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2F281-E9C8-4152-80B3-41DF3362E4ED}">
  <sheetPr codeName="Лист48">
    <tabColor rgb="FFFFFF00"/>
  </sheetPr>
  <dimension ref="A1:I49"/>
  <sheetViews>
    <sheetView workbookViewId="0">
      <selection activeCell="E37" sqref="E37:E49"/>
    </sheetView>
  </sheetViews>
  <sheetFormatPr defaultRowHeight="15"/>
  <cols>
    <col min="1" max="16384" width="9.140625" style="6"/>
  </cols>
  <sheetData>
    <row r="1" spans="1:9" ht="18.75">
      <c r="A1" s="4" t="s">
        <v>3222</v>
      </c>
    </row>
    <row r="2" spans="1:9">
      <c r="A2" s="14" t="s">
        <v>629</v>
      </c>
    </row>
    <row r="3" spans="1:9">
      <c r="A3" s="3" t="s">
        <v>3223</v>
      </c>
      <c r="E3" s="3" t="s">
        <v>3228</v>
      </c>
    </row>
    <row r="4" spans="1:9">
      <c r="A4" s="5" t="s">
        <v>330</v>
      </c>
      <c r="E4" s="5" t="s">
        <v>1176</v>
      </c>
      <c r="I4" s="3" t="s">
        <v>3233</v>
      </c>
    </row>
    <row r="5" spans="1:9">
      <c r="A5" s="5" t="s">
        <v>331</v>
      </c>
      <c r="E5" s="5" t="s">
        <v>1330</v>
      </c>
      <c r="I5" s="5" t="s">
        <v>3234</v>
      </c>
    </row>
    <row r="6" spans="1:9">
      <c r="A6" s="5" t="s">
        <v>332</v>
      </c>
      <c r="E6" s="5" t="s">
        <v>3229</v>
      </c>
      <c r="I6" s="5" t="s">
        <v>1190</v>
      </c>
    </row>
    <row r="7" spans="1:9">
      <c r="A7" s="5" t="s">
        <v>333</v>
      </c>
      <c r="E7" s="5" t="s">
        <v>3230</v>
      </c>
      <c r="I7" s="5" t="s">
        <v>1191</v>
      </c>
    </row>
    <row r="8" spans="1:9">
      <c r="A8" s="5" t="s">
        <v>334</v>
      </c>
      <c r="E8" s="5" t="s">
        <v>1333</v>
      </c>
      <c r="I8" s="5" t="s">
        <v>3235</v>
      </c>
    </row>
    <row r="9" spans="1:9">
      <c r="A9" s="5" t="s">
        <v>1170</v>
      </c>
      <c r="E9" s="5" t="s">
        <v>1334</v>
      </c>
      <c r="I9" s="5" t="s">
        <v>2707</v>
      </c>
    </row>
    <row r="10" spans="1:9">
      <c r="A10" s="5" t="s">
        <v>1171</v>
      </c>
      <c r="E10" s="5" t="s">
        <v>1335</v>
      </c>
      <c r="I10" s="5" t="s">
        <v>3236</v>
      </c>
    </row>
    <row r="11" spans="1:9">
      <c r="A11" s="5" t="s">
        <v>1172</v>
      </c>
      <c r="E11" s="5" t="s">
        <v>1336</v>
      </c>
      <c r="I11" s="5" t="s">
        <v>3237</v>
      </c>
    </row>
    <row r="12" spans="1:9">
      <c r="A12" s="5" t="s">
        <v>3224</v>
      </c>
      <c r="E12" s="5" t="s">
        <v>2900</v>
      </c>
      <c r="I12" s="5" t="s">
        <v>3238</v>
      </c>
    </row>
    <row r="13" spans="1:9">
      <c r="A13" s="5" t="s">
        <v>3225</v>
      </c>
      <c r="E13" s="5" t="s">
        <v>2901</v>
      </c>
      <c r="I13" s="5" t="s">
        <v>3239</v>
      </c>
    </row>
    <row r="14" spans="1:9">
      <c r="A14" s="5" t="s">
        <v>3226</v>
      </c>
      <c r="E14" s="5" t="s">
        <v>3231</v>
      </c>
      <c r="I14" s="5" t="s">
        <v>2916</v>
      </c>
    </row>
    <row r="15" spans="1:9">
      <c r="A15" s="5" t="s">
        <v>3227</v>
      </c>
      <c r="E15" s="5" t="s">
        <v>2903</v>
      </c>
    </row>
    <row r="16" spans="1:9">
      <c r="E16" s="5" t="s">
        <v>2904</v>
      </c>
    </row>
    <row r="17" spans="1:9">
      <c r="A17" s="3" t="s">
        <v>3240</v>
      </c>
      <c r="E17" s="5" t="s">
        <v>2905</v>
      </c>
      <c r="I17" s="3" t="s">
        <v>3245</v>
      </c>
    </row>
    <row r="18" spans="1:9">
      <c r="A18" s="5" t="s">
        <v>1565</v>
      </c>
      <c r="E18" s="5" t="s">
        <v>2906</v>
      </c>
      <c r="I18" s="5" t="s">
        <v>3246</v>
      </c>
    </row>
    <row r="19" spans="1:9">
      <c r="A19" s="5" t="s">
        <v>1566</v>
      </c>
      <c r="E19" s="5" t="s">
        <v>2907</v>
      </c>
      <c r="I19" s="5" t="s">
        <v>3247</v>
      </c>
    </row>
    <row r="20" spans="1:9">
      <c r="A20" s="5" t="s">
        <v>3241</v>
      </c>
      <c r="E20" s="5" t="s">
        <v>2908</v>
      </c>
      <c r="I20" s="5" t="s">
        <v>3248</v>
      </c>
    </row>
    <row r="21" spans="1:9">
      <c r="A21" s="5" t="s">
        <v>3242</v>
      </c>
      <c r="E21" s="5" t="s">
        <v>2909</v>
      </c>
      <c r="I21" s="5" t="s">
        <v>3249</v>
      </c>
    </row>
    <row r="22" spans="1:9">
      <c r="A22" s="5" t="s">
        <v>3243</v>
      </c>
      <c r="E22" s="5" t="s">
        <v>3232</v>
      </c>
      <c r="I22" s="5" t="s">
        <v>3250</v>
      </c>
    </row>
    <row r="23" spans="1:9">
      <c r="A23" s="5" t="s">
        <v>3244</v>
      </c>
      <c r="E23" s="5" t="s">
        <v>2911</v>
      </c>
      <c r="I23" s="5" t="s">
        <v>3251</v>
      </c>
    </row>
    <row r="25" spans="1:9">
      <c r="A25" s="3" t="s">
        <v>3252</v>
      </c>
      <c r="E25" s="3" t="s">
        <v>3262</v>
      </c>
      <c r="I25" s="3" t="s">
        <v>3268</v>
      </c>
    </row>
    <row r="26" spans="1:9">
      <c r="A26" s="5" t="s">
        <v>2923</v>
      </c>
      <c r="E26" s="5" t="s">
        <v>3263</v>
      </c>
      <c r="I26" s="5" t="s">
        <v>1832</v>
      </c>
    </row>
    <row r="27" spans="1:9">
      <c r="A27" s="5" t="s">
        <v>3253</v>
      </c>
      <c r="E27" s="5" t="s">
        <v>3264</v>
      </c>
      <c r="I27" s="5" t="s">
        <v>3269</v>
      </c>
    </row>
    <row r="28" spans="1:9">
      <c r="A28" s="5" t="s">
        <v>3254</v>
      </c>
      <c r="E28" s="5" t="s">
        <v>2726</v>
      </c>
      <c r="I28" s="5" t="s">
        <v>3270</v>
      </c>
    </row>
    <row r="29" spans="1:9">
      <c r="A29" s="5" t="s">
        <v>3255</v>
      </c>
      <c r="E29" s="5" t="s">
        <v>3265</v>
      </c>
      <c r="I29" s="5" t="s">
        <v>3271</v>
      </c>
    </row>
    <row r="30" spans="1:9">
      <c r="A30" s="5" t="s">
        <v>3256</v>
      </c>
      <c r="E30" s="5" t="s">
        <v>3266</v>
      </c>
      <c r="I30" s="5" t="s">
        <v>3272</v>
      </c>
    </row>
    <row r="31" spans="1:9">
      <c r="A31" s="5" t="s">
        <v>3257</v>
      </c>
      <c r="E31" s="5" t="s">
        <v>3267</v>
      </c>
      <c r="I31" s="5" t="s">
        <v>3273</v>
      </c>
    </row>
    <row r="32" spans="1:9">
      <c r="A32" s="5" t="s">
        <v>3258</v>
      </c>
      <c r="E32" s="5" t="s">
        <v>1297</v>
      </c>
      <c r="I32" s="5" t="s">
        <v>3274</v>
      </c>
    </row>
    <row r="33" spans="1:9">
      <c r="A33" s="5" t="s">
        <v>3259</v>
      </c>
      <c r="E33" s="5" t="s">
        <v>2938</v>
      </c>
      <c r="I33" s="5" t="s">
        <v>3275</v>
      </c>
    </row>
    <row r="34" spans="1:9">
      <c r="A34" s="5" t="s">
        <v>3260</v>
      </c>
    </row>
    <row r="35" spans="1:9">
      <c r="A35" s="5" t="s">
        <v>3261</v>
      </c>
    </row>
    <row r="37" spans="1:9">
      <c r="A37" s="3" t="s">
        <v>3276</v>
      </c>
      <c r="E37" s="3" t="s">
        <v>3285</v>
      </c>
    </row>
    <row r="38" spans="1:9">
      <c r="A38" s="5" t="s">
        <v>3277</v>
      </c>
      <c r="E38" s="5" t="s">
        <v>3286</v>
      </c>
    </row>
    <row r="39" spans="1:9">
      <c r="A39" s="5" t="s">
        <v>3278</v>
      </c>
      <c r="E39" s="5" t="s">
        <v>3287</v>
      </c>
    </row>
    <row r="40" spans="1:9">
      <c r="A40" s="5" t="s">
        <v>3279</v>
      </c>
      <c r="E40" s="5" t="s">
        <v>3288</v>
      </c>
    </row>
    <row r="41" spans="1:9">
      <c r="A41" s="5" t="s">
        <v>3280</v>
      </c>
      <c r="E41" s="5" t="s">
        <v>1593</v>
      </c>
    </row>
    <row r="42" spans="1:9">
      <c r="A42" s="5" t="s">
        <v>3281</v>
      </c>
      <c r="E42" s="5" t="s">
        <v>3289</v>
      </c>
    </row>
    <row r="43" spans="1:9">
      <c r="A43" s="5" t="s">
        <v>3282</v>
      </c>
      <c r="E43" s="5" t="s">
        <v>3290</v>
      </c>
    </row>
    <row r="44" spans="1:9">
      <c r="A44" s="5" t="s">
        <v>3283</v>
      </c>
      <c r="E44" s="5" t="s">
        <v>3291</v>
      </c>
    </row>
    <row r="45" spans="1:9">
      <c r="A45" s="5" t="s">
        <v>3284</v>
      </c>
      <c r="E45" s="5" t="s">
        <v>3292</v>
      </c>
    </row>
    <row r="46" spans="1:9">
      <c r="E46" s="5" t="s">
        <v>3293</v>
      </c>
    </row>
    <row r="47" spans="1:9">
      <c r="E47" s="5" t="s">
        <v>3294</v>
      </c>
    </row>
    <row r="48" spans="1:9">
      <c r="E48" s="5" t="s">
        <v>3295</v>
      </c>
    </row>
    <row r="49" spans="5:5">
      <c r="E49" s="5" t="s">
        <v>3296</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8957A-63A8-439E-B029-1BF4F8387009}">
  <sheetPr codeName="Лист49">
    <tabColor rgb="FFFFFF00"/>
  </sheetPr>
  <dimension ref="A1:I44"/>
  <sheetViews>
    <sheetView workbookViewId="0">
      <selection activeCell="I32" sqref="I32:I42"/>
    </sheetView>
  </sheetViews>
  <sheetFormatPr defaultRowHeight="15"/>
  <cols>
    <col min="1" max="16384" width="9.140625" style="6"/>
  </cols>
  <sheetData>
    <row r="1" spans="1:9">
      <c r="A1" s="3" t="s">
        <v>3410</v>
      </c>
    </row>
    <row r="2" spans="1:9">
      <c r="A2" s="14" t="s">
        <v>3411</v>
      </c>
    </row>
    <row r="3" spans="1:9">
      <c r="A3" s="14"/>
    </row>
    <row r="4" spans="1:9">
      <c r="A4" s="3" t="s">
        <v>3412</v>
      </c>
      <c r="E4" s="3" t="s">
        <v>3413</v>
      </c>
      <c r="I4" s="3" t="s">
        <v>3414</v>
      </c>
    </row>
    <row r="5" spans="1:9">
      <c r="A5" s="5" t="s">
        <v>3277</v>
      </c>
      <c r="E5" s="5" t="s">
        <v>3028</v>
      </c>
      <c r="I5" s="5" t="s">
        <v>3035</v>
      </c>
    </row>
    <row r="6" spans="1:9">
      <c r="A6" s="5" t="s">
        <v>3278</v>
      </c>
      <c r="E6" s="5" t="s">
        <v>3029</v>
      </c>
      <c r="I6" s="5" t="s">
        <v>3036</v>
      </c>
    </row>
    <row r="7" spans="1:9">
      <c r="A7" s="5" t="s">
        <v>3279</v>
      </c>
      <c r="E7" s="5" t="s">
        <v>3030</v>
      </c>
      <c r="I7" s="5" t="s">
        <v>3037</v>
      </c>
    </row>
    <row r="8" spans="1:9">
      <c r="A8" s="5" t="s">
        <v>3280</v>
      </c>
      <c r="E8" s="5" t="s">
        <v>3031</v>
      </c>
      <c r="I8" s="5" t="s">
        <v>3038</v>
      </c>
    </row>
    <row r="9" spans="1:9">
      <c r="A9" s="5" t="s">
        <v>3281</v>
      </c>
      <c r="E9" s="5" t="s">
        <v>3032</v>
      </c>
      <c r="I9" s="5" t="s">
        <v>3039</v>
      </c>
    </row>
    <row r="10" spans="1:9">
      <c r="A10" s="5" t="s">
        <v>3282</v>
      </c>
      <c r="E10" s="5" t="s">
        <v>3033</v>
      </c>
      <c r="I10" s="5" t="s">
        <v>3040</v>
      </c>
    </row>
    <row r="11" spans="1:9">
      <c r="A11" s="5" t="s">
        <v>3283</v>
      </c>
      <c r="I11" s="5" t="s">
        <v>3415</v>
      </c>
    </row>
    <row r="12" spans="1:9">
      <c r="A12" s="5" t="s">
        <v>3284</v>
      </c>
      <c r="I12" s="5" t="s">
        <v>3042</v>
      </c>
    </row>
    <row r="13" spans="1:9">
      <c r="I13" s="5" t="s">
        <v>3416</v>
      </c>
    </row>
    <row r="14" spans="1:9">
      <c r="I14" s="5" t="s">
        <v>3417</v>
      </c>
    </row>
    <row r="15" spans="1:9">
      <c r="I15" s="5" t="s">
        <v>3418</v>
      </c>
    </row>
    <row r="16" spans="1:9">
      <c r="I16" s="5" t="s">
        <v>3419</v>
      </c>
    </row>
    <row r="18" spans="1:9">
      <c r="A18" s="3" t="s">
        <v>3420</v>
      </c>
      <c r="E18" s="3" t="s">
        <v>3421</v>
      </c>
      <c r="I18" s="3" t="s">
        <v>3426</v>
      </c>
    </row>
    <row r="19" spans="1:9">
      <c r="A19" s="5" t="s">
        <v>1832</v>
      </c>
      <c r="E19" s="5" t="s">
        <v>3422</v>
      </c>
      <c r="I19" s="5" t="s">
        <v>3427</v>
      </c>
    </row>
    <row r="20" spans="1:9">
      <c r="A20" s="5" t="s">
        <v>3269</v>
      </c>
      <c r="E20" s="5" t="s">
        <v>3423</v>
      </c>
      <c r="I20" s="5" t="s">
        <v>2601</v>
      </c>
    </row>
    <row r="21" spans="1:9">
      <c r="A21" s="5" t="s">
        <v>3270</v>
      </c>
      <c r="E21" s="5" t="s">
        <v>2967</v>
      </c>
      <c r="I21" s="5" t="s">
        <v>3428</v>
      </c>
    </row>
    <row r="22" spans="1:9">
      <c r="A22" s="5" t="s">
        <v>3271</v>
      </c>
      <c r="E22" s="5" t="s">
        <v>2968</v>
      </c>
      <c r="I22" s="5" t="s">
        <v>2603</v>
      </c>
    </row>
    <row r="23" spans="1:9">
      <c r="A23" s="5" t="s">
        <v>3272</v>
      </c>
      <c r="E23" s="5" t="s">
        <v>277</v>
      </c>
      <c r="I23" s="5" t="s">
        <v>3429</v>
      </c>
    </row>
    <row r="24" spans="1:9">
      <c r="A24" s="5" t="s">
        <v>3273</v>
      </c>
      <c r="E24" s="5" t="s">
        <v>3424</v>
      </c>
      <c r="I24" s="5" t="s">
        <v>3430</v>
      </c>
    </row>
    <row r="25" spans="1:9">
      <c r="A25" s="5" t="s">
        <v>3274</v>
      </c>
      <c r="E25" s="5" t="s">
        <v>2970</v>
      </c>
      <c r="I25" s="5" t="s">
        <v>3431</v>
      </c>
    </row>
    <row r="26" spans="1:9">
      <c r="A26" s="5" t="s">
        <v>3275</v>
      </c>
      <c r="E26" s="5" t="s">
        <v>2971</v>
      </c>
      <c r="I26" s="5" t="s">
        <v>3432</v>
      </c>
    </row>
    <row r="27" spans="1:9">
      <c r="E27" s="5" t="s">
        <v>2972</v>
      </c>
    </row>
    <row r="28" spans="1:9">
      <c r="E28" s="5" t="s">
        <v>2973</v>
      </c>
    </row>
    <row r="29" spans="1:9">
      <c r="E29" s="5" t="s">
        <v>3425</v>
      </c>
    </row>
    <row r="30" spans="1:9">
      <c r="E30" s="5" t="s">
        <v>2754</v>
      </c>
    </row>
    <row r="32" spans="1:9">
      <c r="A32" s="3" t="s">
        <v>3433</v>
      </c>
      <c r="E32" s="3" t="s">
        <v>3441</v>
      </c>
      <c r="I32" s="3" t="s">
        <v>3454</v>
      </c>
    </row>
    <row r="33" spans="1:9">
      <c r="A33" s="5" t="s">
        <v>3434</v>
      </c>
      <c r="E33" s="5" t="s">
        <v>3442</v>
      </c>
      <c r="I33" s="5" t="s">
        <v>3455</v>
      </c>
    </row>
    <row r="34" spans="1:9">
      <c r="A34" s="5" t="s">
        <v>3435</v>
      </c>
      <c r="E34" s="5" t="s">
        <v>3443</v>
      </c>
      <c r="I34" s="5" t="s">
        <v>3456</v>
      </c>
    </row>
    <row r="35" spans="1:9">
      <c r="A35" s="5" t="s">
        <v>2755</v>
      </c>
      <c r="E35" s="5" t="s">
        <v>3444</v>
      </c>
      <c r="I35" s="5" t="s">
        <v>3457</v>
      </c>
    </row>
    <row r="36" spans="1:9">
      <c r="A36" s="5" t="s">
        <v>2756</v>
      </c>
      <c r="E36" s="5" t="s">
        <v>3445</v>
      </c>
      <c r="I36" s="5" t="s">
        <v>757</v>
      </c>
    </row>
    <row r="37" spans="1:9">
      <c r="A37" s="5" t="s">
        <v>3436</v>
      </c>
      <c r="E37" s="5" t="s">
        <v>3446</v>
      </c>
      <c r="I37" s="5" t="s">
        <v>758</v>
      </c>
    </row>
    <row r="38" spans="1:9">
      <c r="A38" s="5" t="s">
        <v>2757</v>
      </c>
      <c r="E38" s="5" t="s">
        <v>3447</v>
      </c>
      <c r="I38" s="5" t="s">
        <v>759</v>
      </c>
    </row>
    <row r="39" spans="1:9">
      <c r="A39" s="5" t="s">
        <v>3437</v>
      </c>
      <c r="E39" s="5" t="s">
        <v>3448</v>
      </c>
      <c r="I39" s="5" t="s">
        <v>3458</v>
      </c>
    </row>
    <row r="40" spans="1:9">
      <c r="A40" s="5" t="s">
        <v>3438</v>
      </c>
      <c r="E40" s="5" t="s">
        <v>3449</v>
      </c>
      <c r="I40" s="5" t="s">
        <v>3459</v>
      </c>
    </row>
    <row r="41" spans="1:9">
      <c r="A41" s="5" t="s">
        <v>3439</v>
      </c>
      <c r="E41" s="5" t="s">
        <v>3450</v>
      </c>
      <c r="I41" s="5" t="s">
        <v>762</v>
      </c>
    </row>
    <row r="42" spans="1:9">
      <c r="A42" s="5" t="s">
        <v>3440</v>
      </c>
      <c r="E42" s="5" t="s">
        <v>3451</v>
      </c>
      <c r="I42" s="5" t="s">
        <v>763</v>
      </c>
    </row>
    <row r="43" spans="1:9">
      <c r="A43" s="5" t="s">
        <v>2758</v>
      </c>
      <c r="E43" s="5" t="s">
        <v>3452</v>
      </c>
    </row>
    <row r="44" spans="1:9">
      <c r="A44" s="5" t="s">
        <v>1630</v>
      </c>
      <c r="E44" s="5" t="s">
        <v>3453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60B07-2AB3-4903-B9A0-9B7DC0C9220F}">
  <sheetPr codeName="Лист50">
    <tabColor rgb="FFFFFF00"/>
  </sheetPr>
  <dimension ref="A1:I66"/>
  <sheetViews>
    <sheetView topLeftCell="A18" workbookViewId="0">
      <selection activeCell="I50" sqref="I50"/>
    </sheetView>
  </sheetViews>
  <sheetFormatPr defaultRowHeight="15"/>
  <cols>
    <col min="1" max="16384" width="9.140625" style="6"/>
  </cols>
  <sheetData>
    <row r="1" spans="1:9">
      <c r="A1" s="3" t="s">
        <v>3297</v>
      </c>
    </row>
    <row r="2" spans="1:9">
      <c r="A2" s="14" t="s">
        <v>3298</v>
      </c>
    </row>
    <row r="3" spans="1:9">
      <c r="A3" s="14"/>
    </row>
    <row r="4" spans="1:9">
      <c r="A4" s="3" t="s">
        <v>3299</v>
      </c>
      <c r="E4" s="3" t="s">
        <v>3320</v>
      </c>
      <c r="I4" s="3" t="s">
        <v>3331</v>
      </c>
    </row>
    <row r="5" spans="1:9">
      <c r="A5" s="5" t="s">
        <v>3300</v>
      </c>
      <c r="E5" s="5" t="s">
        <v>3321</v>
      </c>
      <c r="I5" s="5" t="s">
        <v>3035</v>
      </c>
    </row>
    <row r="6" spans="1:9">
      <c r="A6" s="5" t="s">
        <v>3301</v>
      </c>
      <c r="E6" s="5" t="s">
        <v>3322</v>
      </c>
      <c r="I6" s="5" t="s">
        <v>3332</v>
      </c>
    </row>
    <row r="7" spans="1:9">
      <c r="A7" s="5" t="s">
        <v>3302</v>
      </c>
      <c r="E7" s="5" t="s">
        <v>3323</v>
      </c>
      <c r="I7" s="5" t="s">
        <v>3333</v>
      </c>
    </row>
    <row r="8" spans="1:9">
      <c r="A8" s="5" t="s">
        <v>3303</v>
      </c>
      <c r="E8" s="5" t="s">
        <v>3324</v>
      </c>
      <c r="I8" s="5" t="s">
        <v>3334</v>
      </c>
    </row>
    <row r="9" spans="1:9">
      <c r="A9" s="5" t="s">
        <v>3304</v>
      </c>
      <c r="E9" s="5" t="s">
        <v>3325</v>
      </c>
      <c r="I9" s="5" t="s">
        <v>3335</v>
      </c>
    </row>
    <row r="10" spans="1:9">
      <c r="A10" s="5" t="s">
        <v>3305</v>
      </c>
      <c r="E10" s="5" t="s">
        <v>3326</v>
      </c>
      <c r="I10" s="5" t="s">
        <v>3336</v>
      </c>
    </row>
    <row r="11" spans="1:9">
      <c r="A11" s="5" t="s">
        <v>3306</v>
      </c>
      <c r="E11" s="5" t="s">
        <v>3327</v>
      </c>
      <c r="I11" s="5" t="s">
        <v>3337</v>
      </c>
    </row>
    <row r="12" spans="1:9">
      <c r="A12" s="5" t="s">
        <v>3307</v>
      </c>
      <c r="E12" s="5" t="s">
        <v>3328</v>
      </c>
      <c r="I12" s="5" t="s">
        <v>3338</v>
      </c>
    </row>
    <row r="13" spans="1:9">
      <c r="A13" s="5" t="s">
        <v>3308</v>
      </c>
      <c r="E13" s="5" t="s">
        <v>3329</v>
      </c>
      <c r="I13" s="5" t="s">
        <v>3339</v>
      </c>
    </row>
    <row r="14" spans="1:9">
      <c r="A14" s="5" t="s">
        <v>3309</v>
      </c>
      <c r="E14" s="5" t="s">
        <v>3330</v>
      </c>
      <c r="I14" s="5" t="s">
        <v>3340</v>
      </c>
    </row>
    <row r="15" spans="1:9">
      <c r="A15" s="5" t="s">
        <v>3310</v>
      </c>
    </row>
    <row r="16" spans="1:9">
      <c r="A16" s="5" t="s">
        <v>3311</v>
      </c>
      <c r="E16" s="3" t="s">
        <v>3341</v>
      </c>
      <c r="I16" s="3" t="s">
        <v>3350</v>
      </c>
    </row>
    <row r="17" spans="1:9">
      <c r="A17" s="5" t="s">
        <v>3312</v>
      </c>
      <c r="E17" s="5" t="s">
        <v>3342</v>
      </c>
      <c r="I17" s="5" t="s">
        <v>3351</v>
      </c>
    </row>
    <row r="18" spans="1:9">
      <c r="A18" s="5" t="s">
        <v>3313</v>
      </c>
      <c r="E18" s="5" t="s">
        <v>3343</v>
      </c>
      <c r="I18" s="5" t="s">
        <v>3352</v>
      </c>
    </row>
    <row r="19" spans="1:9">
      <c r="A19" s="5" t="s">
        <v>3314</v>
      </c>
      <c r="E19" s="5" t="s">
        <v>3344</v>
      </c>
      <c r="I19" s="5" t="s">
        <v>3353</v>
      </c>
    </row>
    <row r="20" spans="1:9">
      <c r="A20" s="5" t="s">
        <v>3315</v>
      </c>
      <c r="E20" s="5" t="s">
        <v>3345</v>
      </c>
      <c r="I20" s="5" t="s">
        <v>3354</v>
      </c>
    </row>
    <row r="21" spans="1:9">
      <c r="A21" s="5" t="s">
        <v>3316</v>
      </c>
      <c r="E21" s="5" t="s">
        <v>3346</v>
      </c>
      <c r="I21" s="5" t="s">
        <v>3355</v>
      </c>
    </row>
    <row r="22" spans="1:9">
      <c r="A22" s="5" t="s">
        <v>3317</v>
      </c>
      <c r="E22" s="5" t="s">
        <v>3347</v>
      </c>
      <c r="I22" s="5" t="s">
        <v>3356</v>
      </c>
    </row>
    <row r="23" spans="1:9">
      <c r="A23" s="5" t="s">
        <v>3318</v>
      </c>
      <c r="E23" s="5" t="s">
        <v>3348</v>
      </c>
    </row>
    <row r="24" spans="1:9">
      <c r="A24" s="5" t="s">
        <v>3319</v>
      </c>
      <c r="E24" s="5" t="s">
        <v>3349</v>
      </c>
    </row>
    <row r="26" spans="1:9">
      <c r="A26" s="3" t="s">
        <v>3357</v>
      </c>
      <c r="E26" s="3" t="s">
        <v>3398</v>
      </c>
      <c r="I26" s="3" t="s">
        <v>3403</v>
      </c>
    </row>
    <row r="27" spans="1:9">
      <c r="A27" s="5" t="s">
        <v>3358</v>
      </c>
      <c r="E27" s="5" t="s">
        <v>3399</v>
      </c>
      <c r="I27" s="5" t="s">
        <v>3404</v>
      </c>
    </row>
    <row r="28" spans="1:9">
      <c r="A28" s="5" t="s">
        <v>3359</v>
      </c>
      <c r="E28" s="5" t="s">
        <v>3400</v>
      </c>
      <c r="I28" s="5" t="s">
        <v>3405</v>
      </c>
    </row>
    <row r="29" spans="1:9">
      <c r="A29" s="5" t="s">
        <v>3360</v>
      </c>
      <c r="E29" s="5" t="s">
        <v>3401</v>
      </c>
      <c r="I29" s="5" t="s">
        <v>3406</v>
      </c>
    </row>
    <row r="30" spans="1:9">
      <c r="A30" s="5" t="s">
        <v>3361</v>
      </c>
      <c r="E30" s="5" t="s">
        <v>3402</v>
      </c>
      <c r="I30" s="5" t="s">
        <v>3407</v>
      </c>
    </row>
    <row r="31" spans="1:9">
      <c r="A31" s="5" t="s">
        <v>3362</v>
      </c>
      <c r="I31" s="5" t="s">
        <v>3408</v>
      </c>
    </row>
    <row r="32" spans="1:9">
      <c r="A32" s="5" t="s">
        <v>3363</v>
      </c>
      <c r="I32" s="5" t="s">
        <v>3409</v>
      </c>
    </row>
    <row r="33" spans="1:1">
      <c r="A33" s="5" t="s">
        <v>3364</v>
      </c>
    </row>
    <row r="34" spans="1:1">
      <c r="A34" s="5" t="s">
        <v>3365</v>
      </c>
    </row>
    <row r="35" spans="1:1">
      <c r="A35" s="5" t="s">
        <v>3366</v>
      </c>
    </row>
    <row r="36" spans="1:1">
      <c r="A36" s="5" t="s">
        <v>3367</v>
      </c>
    </row>
    <row r="37" spans="1:1">
      <c r="A37" s="5" t="s">
        <v>3368</v>
      </c>
    </row>
    <row r="38" spans="1:1">
      <c r="A38" s="5" t="s">
        <v>3369</v>
      </c>
    </row>
    <row r="39" spans="1:1">
      <c r="A39" s="5" t="s">
        <v>3370</v>
      </c>
    </row>
    <row r="40" spans="1:1">
      <c r="A40" s="5" t="s">
        <v>3371</v>
      </c>
    </row>
    <row r="41" spans="1:1">
      <c r="A41" s="5" t="s">
        <v>3372</v>
      </c>
    </row>
    <row r="42" spans="1:1">
      <c r="A42" s="5" t="s">
        <v>3373</v>
      </c>
    </row>
    <row r="43" spans="1:1">
      <c r="A43" s="5" t="s">
        <v>3374</v>
      </c>
    </row>
    <row r="44" spans="1:1">
      <c r="A44" s="5" t="s">
        <v>3375</v>
      </c>
    </row>
    <row r="45" spans="1:1">
      <c r="A45" s="5" t="s">
        <v>3376</v>
      </c>
    </row>
    <row r="46" spans="1:1">
      <c r="A46" s="5" t="s">
        <v>3377</v>
      </c>
    </row>
    <row r="47" spans="1:1">
      <c r="A47" s="5" t="s">
        <v>3378</v>
      </c>
    </row>
    <row r="48" spans="1:1">
      <c r="A48" s="5" t="s">
        <v>3379</v>
      </c>
    </row>
    <row r="49" spans="1:1">
      <c r="A49" s="5" t="s">
        <v>3380</v>
      </c>
    </row>
    <row r="50" spans="1:1">
      <c r="A50" s="5" t="s">
        <v>3381</v>
      </c>
    </row>
    <row r="51" spans="1:1">
      <c r="A51" s="5" t="s">
        <v>3382</v>
      </c>
    </row>
    <row r="52" spans="1:1">
      <c r="A52" s="5" t="s">
        <v>3383</v>
      </c>
    </row>
    <row r="53" spans="1:1">
      <c r="A53" s="5" t="s">
        <v>3384</v>
      </c>
    </row>
    <row r="54" spans="1:1">
      <c r="A54" s="5" t="s">
        <v>3385</v>
      </c>
    </row>
    <row r="55" spans="1:1">
      <c r="A55" s="5" t="s">
        <v>3386</v>
      </c>
    </row>
    <row r="56" spans="1:1">
      <c r="A56" s="5" t="s">
        <v>3387</v>
      </c>
    </row>
    <row r="57" spans="1:1">
      <c r="A57" s="5" t="s">
        <v>3388</v>
      </c>
    </row>
    <row r="58" spans="1:1">
      <c r="A58" s="5" t="s">
        <v>3389</v>
      </c>
    </row>
    <row r="59" spans="1:1">
      <c r="A59" s="5" t="s">
        <v>3390</v>
      </c>
    </row>
    <row r="60" spans="1:1">
      <c r="A60" s="5" t="s">
        <v>3391</v>
      </c>
    </row>
    <row r="61" spans="1:1">
      <c r="A61" s="5" t="s">
        <v>3392</v>
      </c>
    </row>
    <row r="62" spans="1:1">
      <c r="A62" s="5" t="s">
        <v>3393</v>
      </c>
    </row>
    <row r="63" spans="1:1">
      <c r="A63" s="5" t="s">
        <v>3394</v>
      </c>
    </row>
    <row r="64" spans="1:1">
      <c r="A64" s="5" t="s">
        <v>3395</v>
      </c>
    </row>
    <row r="65" spans="1:1">
      <c r="A65" s="5" t="s">
        <v>3396</v>
      </c>
    </row>
    <row r="66" spans="1:1">
      <c r="A66" s="5" t="s">
        <v>3397</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97C1F-92F1-4392-900A-989E4E68F81F}">
  <sheetPr codeName="Лист51">
    <tabColor rgb="FFFFFF00"/>
  </sheetPr>
  <dimension ref="A1:I78"/>
  <sheetViews>
    <sheetView workbookViewId="0">
      <selection activeCell="N76" sqref="N76"/>
    </sheetView>
  </sheetViews>
  <sheetFormatPr defaultRowHeight="15"/>
  <cols>
    <col min="1" max="16384" width="9.140625" style="6"/>
  </cols>
  <sheetData>
    <row r="1" spans="1:5" ht="18.75">
      <c r="A1" s="4" t="s">
        <v>3004</v>
      </c>
    </row>
    <row r="2" spans="1:5">
      <c r="A2" s="14" t="s">
        <v>629</v>
      </c>
    </row>
    <row r="3" spans="1:5">
      <c r="A3" s="14"/>
    </row>
    <row r="4" spans="1:5">
      <c r="A4" s="3" t="s">
        <v>3005</v>
      </c>
      <c r="E4" s="3" t="s">
        <v>3006</v>
      </c>
    </row>
    <row r="5" spans="1:5">
      <c r="A5" s="5" t="s">
        <v>330</v>
      </c>
      <c r="E5" s="5" t="s">
        <v>351</v>
      </c>
    </row>
    <row r="6" spans="1:5">
      <c r="A6" s="5" t="s">
        <v>331</v>
      </c>
      <c r="E6" s="5" t="s">
        <v>352</v>
      </c>
    </row>
    <row r="7" spans="1:5">
      <c r="A7" s="5" t="s">
        <v>332</v>
      </c>
      <c r="E7" s="5" t="s">
        <v>353</v>
      </c>
    </row>
    <row r="8" spans="1:5">
      <c r="A8" s="5" t="s">
        <v>333</v>
      </c>
      <c r="E8" s="5" t="s">
        <v>354</v>
      </c>
    </row>
    <row r="9" spans="1:5">
      <c r="A9" s="5" t="s">
        <v>334</v>
      </c>
      <c r="E9" s="5" t="s">
        <v>355</v>
      </c>
    </row>
    <row r="10" spans="1:5">
      <c r="A10" s="5" t="s">
        <v>335</v>
      </c>
      <c r="E10" s="5" t="s">
        <v>356</v>
      </c>
    </row>
    <row r="11" spans="1:5">
      <c r="A11" s="5" t="s">
        <v>336</v>
      </c>
      <c r="E11" s="5" t="s">
        <v>357</v>
      </c>
    </row>
    <row r="12" spans="1:5">
      <c r="A12" s="5" t="s">
        <v>337</v>
      </c>
      <c r="E12" s="5" t="s">
        <v>358</v>
      </c>
    </row>
    <row r="13" spans="1:5">
      <c r="A13" s="5" t="s">
        <v>338</v>
      </c>
    </row>
    <row r="14" spans="1:5">
      <c r="A14" s="5" t="s">
        <v>339</v>
      </c>
      <c r="E14" s="3" t="s">
        <v>3007</v>
      </c>
    </row>
    <row r="15" spans="1:5">
      <c r="A15" s="5" t="s">
        <v>340</v>
      </c>
      <c r="E15" s="5" t="s">
        <v>3008</v>
      </c>
    </row>
    <row r="16" spans="1:5">
      <c r="A16" s="5" t="s">
        <v>341</v>
      </c>
      <c r="E16" s="5" t="s">
        <v>3009</v>
      </c>
    </row>
    <row r="17" spans="1:9">
      <c r="A17" s="5" t="s">
        <v>342</v>
      </c>
      <c r="E17" s="5" t="s">
        <v>3010</v>
      </c>
    </row>
    <row r="18" spans="1:9">
      <c r="A18" s="5" t="s">
        <v>343</v>
      </c>
      <c r="E18" s="5" t="s">
        <v>3011</v>
      </c>
    </row>
    <row r="19" spans="1:9">
      <c r="A19" s="5" t="s">
        <v>344</v>
      </c>
      <c r="E19" s="5" t="s">
        <v>3012</v>
      </c>
    </row>
    <row r="20" spans="1:9">
      <c r="A20" s="5" t="s">
        <v>345</v>
      </c>
      <c r="E20" s="5" t="s">
        <v>3013</v>
      </c>
    </row>
    <row r="21" spans="1:9">
      <c r="A21" s="5" t="s">
        <v>346</v>
      </c>
    </row>
    <row r="22" spans="1:9">
      <c r="A22" s="5" t="s">
        <v>347</v>
      </c>
    </row>
    <row r="23" spans="1:9">
      <c r="A23" s="5" t="s">
        <v>348</v>
      </c>
    </row>
    <row r="24" spans="1:9">
      <c r="A24" s="5" t="s">
        <v>349</v>
      </c>
    </row>
    <row r="26" spans="1:9">
      <c r="A26" s="3" t="s">
        <v>3014</v>
      </c>
      <c r="E26" s="3" t="s">
        <v>3022</v>
      </c>
      <c r="I26" s="3" t="s">
        <v>3027</v>
      </c>
    </row>
    <row r="27" spans="1:9">
      <c r="A27" s="5" t="s">
        <v>2689</v>
      </c>
      <c r="E27" s="5" t="s">
        <v>3023</v>
      </c>
      <c r="I27" s="5" t="s">
        <v>3028</v>
      </c>
    </row>
    <row r="28" spans="1:9">
      <c r="A28" s="5" t="s">
        <v>3015</v>
      </c>
      <c r="E28" s="5" t="s">
        <v>3024</v>
      </c>
      <c r="I28" s="5" t="s">
        <v>3029</v>
      </c>
    </row>
    <row r="29" spans="1:9">
      <c r="A29" s="5" t="s">
        <v>3016</v>
      </c>
      <c r="E29" s="5" t="s">
        <v>3025</v>
      </c>
      <c r="I29" s="5" t="s">
        <v>3030</v>
      </c>
    </row>
    <row r="30" spans="1:9">
      <c r="A30" s="5" t="s">
        <v>3017</v>
      </c>
      <c r="E30" s="5" t="s">
        <v>3026</v>
      </c>
      <c r="I30" s="5" t="s">
        <v>3031</v>
      </c>
    </row>
    <row r="31" spans="1:9">
      <c r="A31" s="5" t="s">
        <v>3018</v>
      </c>
      <c r="I31" s="5" t="s">
        <v>3032</v>
      </c>
    </row>
    <row r="32" spans="1:9">
      <c r="A32" s="5" t="s">
        <v>3019</v>
      </c>
      <c r="I32" s="5" t="s">
        <v>3033</v>
      </c>
    </row>
    <row r="33" spans="1:9">
      <c r="A33" s="5" t="s">
        <v>3020</v>
      </c>
    </row>
    <row r="34" spans="1:9">
      <c r="A34" s="5" t="s">
        <v>3021</v>
      </c>
    </row>
    <row r="36" spans="1:9">
      <c r="A36" s="3" t="s">
        <v>3034</v>
      </c>
      <c r="E36" s="3" t="s">
        <v>3047</v>
      </c>
      <c r="I36" s="3" t="s">
        <v>3054</v>
      </c>
    </row>
    <row r="37" spans="1:9">
      <c r="A37" s="5" t="s">
        <v>3035</v>
      </c>
      <c r="E37" s="5" t="s">
        <v>3048</v>
      </c>
      <c r="I37" s="5" t="s">
        <v>3055</v>
      </c>
    </row>
    <row r="38" spans="1:9">
      <c r="A38" s="5" t="s">
        <v>3036</v>
      </c>
      <c r="E38" s="5" t="s">
        <v>3049</v>
      </c>
      <c r="I38" s="5" t="s">
        <v>3056</v>
      </c>
    </row>
    <row r="39" spans="1:9">
      <c r="A39" s="5" t="s">
        <v>3037</v>
      </c>
      <c r="E39" s="5" t="s">
        <v>3050</v>
      </c>
      <c r="I39" s="5" t="s">
        <v>3057</v>
      </c>
    </row>
    <row r="40" spans="1:9">
      <c r="A40" s="5" t="s">
        <v>3038</v>
      </c>
      <c r="E40" s="5" t="s">
        <v>3051</v>
      </c>
      <c r="I40" s="5" t="s">
        <v>3058</v>
      </c>
    </row>
    <row r="41" spans="1:9">
      <c r="A41" s="5" t="s">
        <v>3039</v>
      </c>
      <c r="E41" s="5" t="s">
        <v>3052</v>
      </c>
      <c r="I41" s="5" t="s">
        <v>3059</v>
      </c>
    </row>
    <row r="42" spans="1:9">
      <c r="A42" s="5" t="s">
        <v>3040</v>
      </c>
      <c r="E42" s="5" t="s">
        <v>3053</v>
      </c>
      <c r="I42" s="5" t="s">
        <v>3060</v>
      </c>
    </row>
    <row r="43" spans="1:9">
      <c r="A43" s="5" t="s">
        <v>3041</v>
      </c>
      <c r="I43" s="5" t="s">
        <v>3061</v>
      </c>
    </row>
    <row r="44" spans="1:9">
      <c r="A44" s="5" t="s">
        <v>3042</v>
      </c>
      <c r="I44" s="5" t="s">
        <v>2219</v>
      </c>
    </row>
    <row r="45" spans="1:9">
      <c r="A45" s="5" t="s">
        <v>3043</v>
      </c>
      <c r="I45" s="5" t="s">
        <v>2711</v>
      </c>
    </row>
    <row r="46" spans="1:9">
      <c r="A46" s="5" t="s">
        <v>3044</v>
      </c>
      <c r="I46" s="5" t="s">
        <v>3062</v>
      </c>
    </row>
    <row r="47" spans="1:9">
      <c r="A47" s="5" t="s">
        <v>3045</v>
      </c>
      <c r="I47" s="5" t="s">
        <v>3063</v>
      </c>
    </row>
    <row r="48" spans="1:9">
      <c r="A48" s="5" t="s">
        <v>3046</v>
      </c>
      <c r="I48" s="5" t="s">
        <v>3064</v>
      </c>
    </row>
    <row r="50" spans="1:5">
      <c r="A50" s="3" t="s">
        <v>3065</v>
      </c>
      <c r="E50" s="3" t="s">
        <v>3069</v>
      </c>
    </row>
    <row r="51" spans="1:5">
      <c r="A51" s="5" t="s">
        <v>3066</v>
      </c>
      <c r="E51" s="5" t="s">
        <v>1673</v>
      </c>
    </row>
    <row r="52" spans="1:5">
      <c r="A52" s="5" t="s">
        <v>1620</v>
      </c>
      <c r="E52" s="5" t="s">
        <v>1633</v>
      </c>
    </row>
    <row r="53" spans="1:5">
      <c r="A53" s="5" t="s">
        <v>1621</v>
      </c>
      <c r="E53" s="5" t="s">
        <v>1634</v>
      </c>
    </row>
    <row r="54" spans="1:5">
      <c r="A54" s="5" t="s">
        <v>1622</v>
      </c>
      <c r="E54" s="5" t="s">
        <v>1635</v>
      </c>
    </row>
    <row r="55" spans="1:5">
      <c r="A55" s="5" t="s">
        <v>1623</v>
      </c>
      <c r="E55" s="5" t="s">
        <v>2284</v>
      </c>
    </row>
    <row r="56" spans="1:5">
      <c r="A56" s="5" t="s">
        <v>3067</v>
      </c>
      <c r="E56" s="5" t="s">
        <v>2999</v>
      </c>
    </row>
    <row r="57" spans="1:5">
      <c r="A57" s="5" t="s">
        <v>1625</v>
      </c>
      <c r="E57" s="5" t="s">
        <v>3000</v>
      </c>
    </row>
    <row r="58" spans="1:5">
      <c r="A58" s="5" t="s">
        <v>1626</v>
      </c>
      <c r="E58" s="5" t="s">
        <v>3001</v>
      </c>
    </row>
    <row r="59" spans="1:5">
      <c r="A59" s="5" t="s">
        <v>1627</v>
      </c>
      <c r="E59" s="5" t="s">
        <v>3002</v>
      </c>
    </row>
    <row r="60" spans="1:5">
      <c r="A60" s="5" t="s">
        <v>1628</v>
      </c>
      <c r="E60" s="5" t="s">
        <v>3003</v>
      </c>
    </row>
    <row r="61" spans="1:5">
      <c r="A61" s="5" t="s">
        <v>1629</v>
      </c>
    </row>
    <row r="62" spans="1:5">
      <c r="A62" s="5" t="s">
        <v>3068</v>
      </c>
    </row>
    <row r="64" spans="1:5">
      <c r="A64" s="3" t="s">
        <v>3070</v>
      </c>
    </row>
    <row r="65" spans="1:9">
      <c r="A65" s="3"/>
    </row>
    <row r="66" spans="1:9">
      <c r="A66" s="3" t="s">
        <v>3071</v>
      </c>
      <c r="E66" s="3" t="s">
        <v>3084</v>
      </c>
      <c r="I66" s="3" t="s">
        <v>3088</v>
      </c>
    </row>
    <row r="67" spans="1:9">
      <c r="A67" s="5" t="s">
        <v>3072</v>
      </c>
      <c r="E67" s="5" t="s">
        <v>265</v>
      </c>
      <c r="I67" s="5" t="s">
        <v>1660</v>
      </c>
    </row>
    <row r="68" spans="1:9">
      <c r="A68" s="5" t="s">
        <v>3073</v>
      </c>
      <c r="E68" s="5" t="s">
        <v>3085</v>
      </c>
      <c r="I68" s="5" t="s">
        <v>1661</v>
      </c>
    </row>
    <row r="69" spans="1:9">
      <c r="A69" s="5" t="s">
        <v>3074</v>
      </c>
      <c r="E69" s="5" t="s">
        <v>3086</v>
      </c>
      <c r="I69" s="5" t="s">
        <v>1662</v>
      </c>
    </row>
    <row r="70" spans="1:9">
      <c r="A70" s="5" t="s">
        <v>3075</v>
      </c>
      <c r="E70" s="5" t="s">
        <v>3087</v>
      </c>
      <c r="I70" s="5" t="s">
        <v>1663</v>
      </c>
    </row>
    <row r="71" spans="1:9">
      <c r="A71" s="5" t="s">
        <v>3076</v>
      </c>
      <c r="E71" s="5" t="s">
        <v>1657</v>
      </c>
      <c r="I71" s="5" t="s">
        <v>1664</v>
      </c>
    </row>
    <row r="72" spans="1:9">
      <c r="A72" s="5" t="s">
        <v>3077</v>
      </c>
      <c r="E72" s="5" t="s">
        <v>3019</v>
      </c>
      <c r="I72" s="5" t="s">
        <v>1665</v>
      </c>
    </row>
    <row r="73" spans="1:9">
      <c r="A73" s="5" t="s">
        <v>3078</v>
      </c>
      <c r="I73" s="5" t="s">
        <v>3089</v>
      </c>
    </row>
    <row r="74" spans="1:9">
      <c r="A74" s="5" t="s">
        <v>3079</v>
      </c>
      <c r="I74" s="5" t="s">
        <v>3090</v>
      </c>
    </row>
    <row r="75" spans="1:9">
      <c r="A75" s="5" t="s">
        <v>3080</v>
      </c>
    </row>
    <row r="76" spans="1:9">
      <c r="A76" s="5" t="s">
        <v>3081</v>
      </c>
    </row>
    <row r="77" spans="1:9">
      <c r="A77" s="5" t="s">
        <v>3082</v>
      </c>
    </row>
    <row r="78" spans="1:9">
      <c r="A78" s="5" t="s">
        <v>3083</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5B4E6-07F0-4792-AA7F-DEA6A476A541}">
  <sheetPr>
    <tabColor rgb="FFFFFF00"/>
  </sheetPr>
  <dimension ref="A1:I71"/>
  <sheetViews>
    <sheetView workbookViewId="0">
      <selection activeCell="I65" sqref="I65:I71"/>
    </sheetView>
  </sheetViews>
  <sheetFormatPr defaultRowHeight="15"/>
  <sheetData>
    <row r="1" spans="1:9" ht="18.75">
      <c r="A1" s="27" t="s">
        <v>8638</v>
      </c>
    </row>
    <row r="2" spans="1:9">
      <c r="A2" s="31" t="s">
        <v>2405</v>
      </c>
    </row>
    <row r="3" spans="1:9">
      <c r="A3" s="34" t="s">
        <v>8639</v>
      </c>
      <c r="E3" s="34" t="s">
        <v>8646</v>
      </c>
      <c r="I3" s="34" t="s">
        <v>8653</v>
      </c>
    </row>
    <row r="4" spans="1:9">
      <c r="A4" s="30" t="s">
        <v>8640</v>
      </c>
      <c r="E4" s="30" t="s">
        <v>8647</v>
      </c>
      <c r="I4" s="30" t="s">
        <v>8654</v>
      </c>
    </row>
    <row r="5" spans="1:9">
      <c r="A5" s="30" t="s">
        <v>8641</v>
      </c>
      <c r="E5" s="30" t="s">
        <v>8648</v>
      </c>
      <c r="I5" s="30" t="s">
        <v>8655</v>
      </c>
    </row>
    <row r="6" spans="1:9">
      <c r="A6" s="30" t="s">
        <v>8642</v>
      </c>
      <c r="E6" s="30" t="s">
        <v>8649</v>
      </c>
      <c r="I6" s="30" t="s">
        <v>8656</v>
      </c>
    </row>
    <row r="7" spans="1:9">
      <c r="A7" s="30" t="s">
        <v>8643</v>
      </c>
      <c r="E7" s="30" t="s">
        <v>8650</v>
      </c>
      <c r="I7" s="30" t="s">
        <v>8657</v>
      </c>
    </row>
    <row r="8" spans="1:9">
      <c r="A8" s="30" t="s">
        <v>8644</v>
      </c>
      <c r="E8" s="30" t="s">
        <v>8651</v>
      </c>
      <c r="I8" s="30" t="s">
        <v>8658</v>
      </c>
    </row>
    <row r="9" spans="1:9">
      <c r="A9" s="30" t="s">
        <v>8645</v>
      </c>
      <c r="E9" s="30" t="s">
        <v>8652</v>
      </c>
      <c r="I9" s="30" t="s">
        <v>8659</v>
      </c>
    </row>
    <row r="11" spans="1:9">
      <c r="A11" s="34" t="s">
        <v>8660</v>
      </c>
      <c r="E11" s="34" t="s">
        <v>8667</v>
      </c>
      <c r="I11" s="34" t="s">
        <v>8674</v>
      </c>
    </row>
    <row r="12" spans="1:9">
      <c r="A12" s="30" t="s">
        <v>8661</v>
      </c>
      <c r="E12" s="30" t="s">
        <v>8668</v>
      </c>
      <c r="I12" s="30" t="s">
        <v>8675</v>
      </c>
    </row>
    <row r="13" spans="1:9">
      <c r="A13" s="30" t="s">
        <v>8662</v>
      </c>
      <c r="E13" s="30" t="s">
        <v>8669</v>
      </c>
      <c r="I13" s="30" t="s">
        <v>8676</v>
      </c>
    </row>
    <row r="14" spans="1:9">
      <c r="A14" s="30" t="s">
        <v>8663</v>
      </c>
      <c r="E14" s="30" t="s">
        <v>8670</v>
      </c>
      <c r="I14" s="30" t="s">
        <v>8677</v>
      </c>
    </row>
    <row r="15" spans="1:9">
      <c r="A15" s="30" t="s">
        <v>8664</v>
      </c>
      <c r="E15" s="30" t="s">
        <v>8671</v>
      </c>
      <c r="I15" s="30" t="s">
        <v>8678</v>
      </c>
    </row>
    <row r="16" spans="1:9">
      <c r="A16" s="30" t="s">
        <v>8665</v>
      </c>
      <c r="E16" s="30" t="s">
        <v>8672</v>
      </c>
      <c r="I16" s="30" t="s">
        <v>8679</v>
      </c>
    </row>
    <row r="17" spans="1:9">
      <c r="A17" s="30" t="s">
        <v>8666</v>
      </c>
      <c r="E17" s="30" t="s">
        <v>8673</v>
      </c>
      <c r="I17" s="30" t="s">
        <v>8680</v>
      </c>
    </row>
    <row r="19" spans="1:9">
      <c r="A19" s="34" t="s">
        <v>8681</v>
      </c>
    </row>
    <row r="20" spans="1:9">
      <c r="A20" s="34" t="s">
        <v>8682</v>
      </c>
      <c r="E20" s="34" t="s">
        <v>8689</v>
      </c>
      <c r="I20" s="34" t="s">
        <v>8696</v>
      </c>
    </row>
    <row r="21" spans="1:9">
      <c r="A21" s="30" t="s">
        <v>8683</v>
      </c>
      <c r="E21" s="30" t="s">
        <v>8690</v>
      </c>
      <c r="I21" s="30" t="s">
        <v>8697</v>
      </c>
    </row>
    <row r="22" spans="1:9">
      <c r="A22" s="30" t="s">
        <v>8684</v>
      </c>
      <c r="E22" s="30" t="s">
        <v>8691</v>
      </c>
      <c r="I22" s="30" t="s">
        <v>8698</v>
      </c>
    </row>
    <row r="23" spans="1:9">
      <c r="A23" s="30" t="s">
        <v>8685</v>
      </c>
      <c r="E23" s="30" t="s">
        <v>8692</v>
      </c>
      <c r="I23" s="30" t="s">
        <v>8699</v>
      </c>
    </row>
    <row r="24" spans="1:9">
      <c r="A24" s="30" t="s">
        <v>8686</v>
      </c>
      <c r="E24" s="30" t="s">
        <v>8693</v>
      </c>
      <c r="I24" s="30" t="s">
        <v>8700</v>
      </c>
    </row>
    <row r="25" spans="1:9">
      <c r="A25" s="30" t="s">
        <v>8687</v>
      </c>
      <c r="E25" s="30" t="s">
        <v>8694</v>
      </c>
      <c r="I25" s="30" t="s">
        <v>8701</v>
      </c>
    </row>
    <row r="26" spans="1:9">
      <c r="A26" s="30" t="s">
        <v>8688</v>
      </c>
      <c r="E26" s="30" t="s">
        <v>8695</v>
      </c>
      <c r="I26" s="30" t="s">
        <v>8702</v>
      </c>
    </row>
    <row r="28" spans="1:9">
      <c r="A28" s="34" t="s">
        <v>8703</v>
      </c>
    </row>
    <row r="29" spans="1:9">
      <c r="A29" s="34" t="s">
        <v>8704</v>
      </c>
      <c r="E29" s="34" t="s">
        <v>8711</v>
      </c>
      <c r="I29" s="34" t="s">
        <v>8717</v>
      </c>
    </row>
    <row r="30" spans="1:9">
      <c r="A30" s="30" t="s">
        <v>8705</v>
      </c>
      <c r="E30" s="30" t="s">
        <v>8712</v>
      </c>
      <c r="I30" s="30" t="s">
        <v>8718</v>
      </c>
    </row>
    <row r="31" spans="1:9">
      <c r="A31" s="30" t="s">
        <v>8706</v>
      </c>
      <c r="E31" s="30" t="s">
        <v>8713</v>
      </c>
      <c r="I31" s="30" t="s">
        <v>8719</v>
      </c>
    </row>
    <row r="32" spans="1:9">
      <c r="A32" s="30" t="s">
        <v>8707</v>
      </c>
      <c r="E32" s="30" t="s">
        <v>8714</v>
      </c>
      <c r="I32" s="30" t="s">
        <v>8720</v>
      </c>
    </row>
    <row r="33" spans="1:9">
      <c r="A33" s="30" t="s">
        <v>8708</v>
      </c>
      <c r="E33" s="30" t="s">
        <v>8715</v>
      </c>
      <c r="I33" s="30" t="s">
        <v>8721</v>
      </c>
    </row>
    <row r="34" spans="1:9">
      <c r="A34" s="30" t="s">
        <v>8709</v>
      </c>
      <c r="E34" s="30" t="s">
        <v>8716</v>
      </c>
      <c r="I34" s="30" t="s">
        <v>8722</v>
      </c>
    </row>
    <row r="35" spans="1:9">
      <c r="A35" s="30" t="s">
        <v>8710</v>
      </c>
      <c r="E35" s="30" t="s">
        <v>7995</v>
      </c>
      <c r="I35" s="30" t="s">
        <v>8723</v>
      </c>
    </row>
    <row r="37" spans="1:9">
      <c r="A37" s="34" t="s">
        <v>8724</v>
      </c>
    </row>
    <row r="38" spans="1:9">
      <c r="A38" s="34" t="s">
        <v>8725</v>
      </c>
      <c r="E38" s="34" t="s">
        <v>8732</v>
      </c>
      <c r="I38" s="34" t="s">
        <v>8738</v>
      </c>
    </row>
    <row r="39" spans="1:9">
      <c r="A39" s="30" t="s">
        <v>8726</v>
      </c>
      <c r="E39" s="30" t="s">
        <v>7990</v>
      </c>
      <c r="I39" s="30" t="s">
        <v>8739</v>
      </c>
    </row>
    <row r="40" spans="1:9">
      <c r="A40" s="30" t="s">
        <v>8727</v>
      </c>
      <c r="E40" s="30" t="s">
        <v>8733</v>
      </c>
      <c r="I40" s="30" t="s">
        <v>8740</v>
      </c>
    </row>
    <row r="41" spans="1:9">
      <c r="A41" s="30" t="s">
        <v>8728</v>
      </c>
      <c r="E41" s="30" t="s">
        <v>8734</v>
      </c>
      <c r="I41" s="30" t="s">
        <v>8741</v>
      </c>
    </row>
    <row r="42" spans="1:9">
      <c r="A42" s="30" t="s">
        <v>8729</v>
      </c>
      <c r="E42" s="30" t="s">
        <v>8735</v>
      </c>
      <c r="I42" s="30" t="s">
        <v>8742</v>
      </c>
    </row>
    <row r="43" spans="1:9">
      <c r="A43" s="30" t="s">
        <v>8730</v>
      </c>
      <c r="E43" s="30" t="s">
        <v>8736</v>
      </c>
      <c r="I43" s="30" t="s">
        <v>8743</v>
      </c>
    </row>
    <row r="44" spans="1:9">
      <c r="A44" s="30" t="s">
        <v>8731</v>
      </c>
      <c r="E44" s="30" t="s">
        <v>8737</v>
      </c>
      <c r="I44" s="30" t="s">
        <v>8744</v>
      </c>
    </row>
    <row r="46" spans="1:9">
      <c r="A46" s="34" t="s">
        <v>8745</v>
      </c>
    </row>
    <row r="47" spans="1:9">
      <c r="A47" s="34" t="s">
        <v>8746</v>
      </c>
      <c r="E47" s="34" t="s">
        <v>8753</v>
      </c>
      <c r="I47" s="34" t="s">
        <v>8759</v>
      </c>
    </row>
    <row r="48" spans="1:9">
      <c r="A48" s="30" t="s">
        <v>8747</v>
      </c>
      <c r="E48" s="30" t="s">
        <v>8754</v>
      </c>
      <c r="I48" s="30" t="s">
        <v>8760</v>
      </c>
    </row>
    <row r="49" spans="1:9">
      <c r="A49" s="30" t="s">
        <v>8748</v>
      </c>
      <c r="E49" s="30" t="s">
        <v>8755</v>
      </c>
      <c r="I49" s="30" t="s">
        <v>8761</v>
      </c>
    </row>
    <row r="50" spans="1:9">
      <c r="A50" s="30" t="s">
        <v>8749</v>
      </c>
      <c r="E50" s="30" t="s">
        <v>8756</v>
      </c>
      <c r="I50" s="30" t="s">
        <v>8762</v>
      </c>
    </row>
    <row r="51" spans="1:9">
      <c r="A51" s="30" t="s">
        <v>8750</v>
      </c>
      <c r="E51" s="30" t="s">
        <v>8757</v>
      </c>
      <c r="I51" s="30" t="s">
        <v>8763</v>
      </c>
    </row>
    <row r="52" spans="1:9">
      <c r="A52" s="30" t="s">
        <v>8751</v>
      </c>
      <c r="E52" s="30" t="s">
        <v>8558</v>
      </c>
      <c r="I52" s="30" t="s">
        <v>8764</v>
      </c>
    </row>
    <row r="53" spans="1:9">
      <c r="A53" s="30" t="s">
        <v>8752</v>
      </c>
      <c r="E53" s="30" t="s">
        <v>8758</v>
      </c>
      <c r="I53" s="30" t="s">
        <v>8765</v>
      </c>
    </row>
    <row r="55" spans="1:9">
      <c r="A55" s="34" t="s">
        <v>8766</v>
      </c>
    </row>
    <row r="56" spans="1:9">
      <c r="A56" s="34" t="s">
        <v>8767</v>
      </c>
      <c r="E56" s="34" t="s">
        <v>8774</v>
      </c>
      <c r="I56" s="34" t="s">
        <v>8781</v>
      </c>
    </row>
    <row r="57" spans="1:9">
      <c r="A57" s="30" t="s">
        <v>8768</v>
      </c>
      <c r="E57" s="30" t="s">
        <v>8775</v>
      </c>
      <c r="I57" s="30" t="s">
        <v>8782</v>
      </c>
    </row>
    <row r="58" spans="1:9">
      <c r="A58" s="30" t="s">
        <v>8769</v>
      </c>
      <c r="E58" s="30" t="s">
        <v>8776</v>
      </c>
      <c r="I58" s="30" t="s">
        <v>8783</v>
      </c>
    </row>
    <row r="59" spans="1:9">
      <c r="A59" s="30" t="s">
        <v>8770</v>
      </c>
      <c r="E59" s="30" t="s">
        <v>8777</v>
      </c>
      <c r="I59" s="30" t="s">
        <v>8784</v>
      </c>
    </row>
    <row r="60" spans="1:9">
      <c r="A60" s="30" t="s">
        <v>8771</v>
      </c>
      <c r="E60" s="30" t="s">
        <v>8778</v>
      </c>
      <c r="I60" s="30" t="s">
        <v>8785</v>
      </c>
    </row>
    <row r="61" spans="1:9">
      <c r="A61" s="30" t="s">
        <v>8772</v>
      </c>
      <c r="E61" s="30" t="s">
        <v>8779</v>
      </c>
      <c r="I61" s="30" t="s">
        <v>8786</v>
      </c>
    </row>
    <row r="62" spans="1:9">
      <c r="A62" s="30" t="s">
        <v>8773</v>
      </c>
      <c r="E62" s="30" t="s">
        <v>8780</v>
      </c>
      <c r="I62" s="30" t="s">
        <v>8787</v>
      </c>
    </row>
    <row r="64" spans="1:9">
      <c r="A64" s="34" t="s">
        <v>8788</v>
      </c>
    </row>
    <row r="65" spans="1:9">
      <c r="A65" s="34" t="s">
        <v>8789</v>
      </c>
      <c r="E65" s="34" t="s">
        <v>8796</v>
      </c>
      <c r="I65" s="34" t="s">
        <v>8803</v>
      </c>
    </row>
    <row r="66" spans="1:9">
      <c r="A66" s="30" t="s">
        <v>8790</v>
      </c>
      <c r="E66" s="30" t="s">
        <v>8797</v>
      </c>
      <c r="I66" s="30" t="s">
        <v>8804</v>
      </c>
    </row>
    <row r="67" spans="1:9">
      <c r="A67" s="30" t="s">
        <v>8791</v>
      </c>
      <c r="E67" s="30" t="s">
        <v>8798</v>
      </c>
      <c r="I67" s="30" t="s">
        <v>8805</v>
      </c>
    </row>
    <row r="68" spans="1:9">
      <c r="A68" s="30" t="s">
        <v>8792</v>
      </c>
      <c r="E68" s="30" t="s">
        <v>8799</v>
      </c>
      <c r="I68" s="30" t="s">
        <v>8806</v>
      </c>
    </row>
    <row r="69" spans="1:9">
      <c r="A69" s="30" t="s">
        <v>8793</v>
      </c>
      <c r="E69" s="30" t="s">
        <v>8800</v>
      </c>
      <c r="I69" s="30" t="s">
        <v>8807</v>
      </c>
    </row>
    <row r="70" spans="1:9">
      <c r="A70" s="30" t="s">
        <v>8794</v>
      </c>
      <c r="E70" s="30" t="s">
        <v>8801</v>
      </c>
      <c r="I70" s="30" t="s">
        <v>8808</v>
      </c>
    </row>
    <row r="71" spans="1:9">
      <c r="A71" s="30" t="s">
        <v>8795</v>
      </c>
      <c r="E71" s="30" t="s">
        <v>8802</v>
      </c>
      <c r="I71" s="30" t="s">
        <v>8809</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DB95-0B52-4A16-BEE2-20A003FD7346}">
  <sheetPr codeName="Лист52">
    <tabColor rgb="FFFFFF00"/>
  </sheetPr>
  <dimension ref="A1:I55"/>
  <sheetViews>
    <sheetView workbookViewId="0">
      <selection activeCell="J26" sqref="J26"/>
    </sheetView>
  </sheetViews>
  <sheetFormatPr defaultRowHeight="15"/>
  <cols>
    <col min="1" max="16384" width="9.140625" style="6"/>
  </cols>
  <sheetData>
    <row r="1" spans="1:9" ht="18.75">
      <c r="A1" s="4" t="s">
        <v>2673</v>
      </c>
    </row>
    <row r="2" spans="1:9">
      <c r="A2" s="14" t="s">
        <v>1153</v>
      </c>
    </row>
    <row r="3" spans="1:9">
      <c r="A3" s="3" t="s">
        <v>2674</v>
      </c>
      <c r="E3" s="3" t="s">
        <v>2681</v>
      </c>
      <c r="I3" s="3" t="s">
        <v>2688</v>
      </c>
    </row>
    <row r="4" spans="1:9">
      <c r="A4" s="5" t="s">
        <v>2675</v>
      </c>
      <c r="E4" s="5" t="s">
        <v>2682</v>
      </c>
      <c r="I4" s="5" t="s">
        <v>2689</v>
      </c>
    </row>
    <row r="5" spans="1:9">
      <c r="A5" s="5" t="s">
        <v>2676</v>
      </c>
      <c r="E5" s="5" t="s">
        <v>2683</v>
      </c>
      <c r="I5" s="5" t="s">
        <v>2690</v>
      </c>
    </row>
    <row r="6" spans="1:9">
      <c r="A6" s="5" t="s">
        <v>2677</v>
      </c>
      <c r="E6" s="5" t="s">
        <v>2684</v>
      </c>
      <c r="I6" s="5" t="s">
        <v>2691</v>
      </c>
    </row>
    <row r="7" spans="1:9">
      <c r="A7" s="5" t="s">
        <v>2678</v>
      </c>
      <c r="E7" s="5" t="s">
        <v>2685</v>
      </c>
      <c r="I7" s="5" t="s">
        <v>2692</v>
      </c>
    </row>
    <row r="8" spans="1:9">
      <c r="A8" s="5" t="s">
        <v>2679</v>
      </c>
      <c r="E8" s="5" t="s">
        <v>2686</v>
      </c>
      <c r="I8" s="5" t="s">
        <v>2693</v>
      </c>
    </row>
    <row r="9" spans="1:9">
      <c r="A9" s="5" t="s">
        <v>2680</v>
      </c>
      <c r="E9" s="5" t="s">
        <v>2687</v>
      </c>
      <c r="I9" s="5" t="s">
        <v>2694</v>
      </c>
    </row>
    <row r="10" spans="1:9">
      <c r="I10" s="5" t="s">
        <v>2695</v>
      </c>
    </row>
    <row r="11" spans="1:9">
      <c r="I11" s="5" t="s">
        <v>2696</v>
      </c>
    </row>
    <row r="13" spans="1:9">
      <c r="A13" s="3" t="s">
        <v>2697</v>
      </c>
      <c r="E13" s="3" t="s">
        <v>2702</v>
      </c>
      <c r="I13" s="3" t="s">
        <v>2713</v>
      </c>
    </row>
    <row r="14" spans="1:9">
      <c r="A14" s="5" t="s">
        <v>2698</v>
      </c>
      <c r="E14" s="5" t="s">
        <v>2703</v>
      </c>
      <c r="I14" s="5" t="s">
        <v>2714</v>
      </c>
    </row>
    <row r="15" spans="1:9">
      <c r="A15" s="5" t="s">
        <v>2699</v>
      </c>
      <c r="E15" s="5" t="s">
        <v>2704</v>
      </c>
      <c r="I15" s="5" t="s">
        <v>2715</v>
      </c>
    </row>
    <row r="16" spans="1:9">
      <c r="A16" s="5" t="s">
        <v>2700</v>
      </c>
      <c r="E16" s="5" t="s">
        <v>2705</v>
      </c>
      <c r="I16" s="5" t="s">
        <v>2716</v>
      </c>
    </row>
    <row r="17" spans="1:9">
      <c r="A17" s="5" t="s">
        <v>2701</v>
      </c>
      <c r="E17" s="5" t="s">
        <v>2706</v>
      </c>
      <c r="I17" s="5" t="s">
        <v>2717</v>
      </c>
    </row>
    <row r="18" spans="1:9">
      <c r="E18" s="5" t="s">
        <v>2707</v>
      </c>
      <c r="I18" s="5" t="s">
        <v>2718</v>
      </c>
    </row>
    <row r="19" spans="1:9">
      <c r="E19" s="5" t="s">
        <v>2708</v>
      </c>
      <c r="I19" s="5" t="s">
        <v>2719</v>
      </c>
    </row>
    <row r="20" spans="1:9">
      <c r="E20" s="5" t="s">
        <v>2709</v>
      </c>
      <c r="I20" s="5" t="s">
        <v>2720</v>
      </c>
    </row>
    <row r="21" spans="1:9">
      <c r="E21" s="5" t="s">
        <v>2710</v>
      </c>
      <c r="I21" s="5" t="s">
        <v>2721</v>
      </c>
    </row>
    <row r="22" spans="1:9">
      <c r="E22" s="5" t="s">
        <v>2711</v>
      </c>
      <c r="I22" s="5" t="s">
        <v>2722</v>
      </c>
    </row>
    <row r="23" spans="1:9">
      <c r="E23" s="5" t="s">
        <v>2712</v>
      </c>
      <c r="I23" s="5" t="s">
        <v>2723</v>
      </c>
    </row>
    <row r="25" spans="1:9">
      <c r="A25" s="3" t="s">
        <v>2724</v>
      </c>
      <c r="E25" s="3" t="s">
        <v>2734</v>
      </c>
    </row>
    <row r="26" spans="1:9">
      <c r="A26" s="5" t="s">
        <v>1291</v>
      </c>
      <c r="E26" s="5" t="s">
        <v>2735</v>
      </c>
    </row>
    <row r="27" spans="1:9">
      <c r="A27" s="5" t="s">
        <v>2725</v>
      </c>
      <c r="E27" s="5" t="s">
        <v>2736</v>
      </c>
    </row>
    <row r="28" spans="1:9">
      <c r="A28" s="5" t="s">
        <v>2726</v>
      </c>
      <c r="E28" s="5" t="s">
        <v>2737</v>
      </c>
    </row>
    <row r="29" spans="1:9">
      <c r="A29" s="5" t="s">
        <v>2727</v>
      </c>
      <c r="E29" s="5" t="s">
        <v>2738</v>
      </c>
    </row>
    <row r="30" spans="1:9">
      <c r="A30" s="5" t="s">
        <v>2728</v>
      </c>
      <c r="E30" s="5" t="s">
        <v>2739</v>
      </c>
    </row>
    <row r="31" spans="1:9">
      <c r="A31" s="5" t="s">
        <v>2729</v>
      </c>
      <c r="E31" s="5" t="s">
        <v>2740</v>
      </c>
    </row>
    <row r="32" spans="1:9">
      <c r="A32" s="5" t="s">
        <v>2730</v>
      </c>
      <c r="E32" s="5" t="s">
        <v>2741</v>
      </c>
    </row>
    <row r="33" spans="1:5">
      <c r="A33" s="5" t="s">
        <v>2731</v>
      </c>
      <c r="E33" s="5" t="s">
        <v>2742</v>
      </c>
    </row>
    <row r="34" spans="1:5">
      <c r="A34" s="5" t="s">
        <v>2732</v>
      </c>
      <c r="E34" s="5" t="s">
        <v>2743</v>
      </c>
    </row>
    <row r="35" spans="1:5">
      <c r="A35" s="5" t="s">
        <v>2733</v>
      </c>
      <c r="E35" s="5" t="s">
        <v>2744</v>
      </c>
    </row>
    <row r="36" spans="1:5">
      <c r="E36" s="5" t="s">
        <v>2745</v>
      </c>
    </row>
    <row r="37" spans="1:5">
      <c r="E37" s="5" t="s">
        <v>2746</v>
      </c>
    </row>
    <row r="49" spans="1:1">
      <c r="A49" s="3" t="s">
        <v>2747</v>
      </c>
    </row>
    <row r="50" spans="1:1">
      <c r="A50" s="5" t="s">
        <v>2748</v>
      </c>
    </row>
    <row r="51" spans="1:1">
      <c r="A51" s="5" t="s">
        <v>2749</v>
      </c>
    </row>
    <row r="52" spans="1:1">
      <c r="A52" s="5" t="s">
        <v>2750</v>
      </c>
    </row>
    <row r="53" spans="1:1">
      <c r="A53" s="5" t="s">
        <v>2751</v>
      </c>
    </row>
    <row r="54" spans="1:1">
      <c r="A54" s="5" t="s">
        <v>2752</v>
      </c>
    </row>
    <row r="55" spans="1:1">
      <c r="A55" s="5" t="s">
        <v>2753</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689A-0072-4725-81BF-4704CE322867}">
  <sheetPr codeName="Лист54">
    <tabColor rgb="FFFFFF00"/>
  </sheetPr>
  <dimension ref="A1:I57"/>
  <sheetViews>
    <sheetView topLeftCell="A21" workbookViewId="0">
      <selection activeCell="T34" sqref="T34"/>
    </sheetView>
  </sheetViews>
  <sheetFormatPr defaultRowHeight="15"/>
  <cols>
    <col min="1" max="16384" width="9.140625" style="6"/>
  </cols>
  <sheetData>
    <row r="1" spans="1:9" ht="18.75">
      <c r="A1" s="4" t="s">
        <v>5483</v>
      </c>
    </row>
    <row r="2" spans="1:9" ht="18.75">
      <c r="A2" s="4"/>
    </row>
    <row r="3" spans="1:9">
      <c r="A3" s="3" t="s">
        <v>5484</v>
      </c>
      <c r="E3" s="3" t="s">
        <v>5491</v>
      </c>
      <c r="I3" s="3" t="s">
        <v>5502</v>
      </c>
    </row>
    <row r="4" spans="1:9">
      <c r="A4" s="5" t="s">
        <v>5485</v>
      </c>
      <c r="E4" s="5" t="s">
        <v>5492</v>
      </c>
      <c r="I4" s="5" t="s">
        <v>5503</v>
      </c>
    </row>
    <row r="5" spans="1:9">
      <c r="A5" s="5" t="s">
        <v>5486</v>
      </c>
      <c r="E5" s="5" t="s">
        <v>5493</v>
      </c>
      <c r="I5" s="5" t="s">
        <v>5504</v>
      </c>
    </row>
    <row r="6" spans="1:9">
      <c r="A6" s="5" t="s">
        <v>5487</v>
      </c>
      <c r="E6" s="5" t="s">
        <v>5494</v>
      </c>
      <c r="I6" s="5" t="s">
        <v>5505</v>
      </c>
    </row>
    <row r="7" spans="1:9">
      <c r="A7" s="5" t="s">
        <v>5488</v>
      </c>
      <c r="E7" s="5" t="s">
        <v>5495</v>
      </c>
      <c r="I7" s="5" t="s">
        <v>5506</v>
      </c>
    </row>
    <row r="8" spans="1:9">
      <c r="A8" s="5" t="s">
        <v>5489</v>
      </c>
      <c r="E8" s="5" t="s">
        <v>5496</v>
      </c>
      <c r="I8" s="5" t="s">
        <v>5507</v>
      </c>
    </row>
    <row r="9" spans="1:9">
      <c r="A9" s="5" t="s">
        <v>5490</v>
      </c>
      <c r="E9" s="5" t="s">
        <v>5497</v>
      </c>
      <c r="I9" s="5" t="s">
        <v>5508</v>
      </c>
    </row>
    <row r="10" spans="1:9">
      <c r="A10" s="5"/>
      <c r="E10" s="5" t="s">
        <v>5498</v>
      </c>
      <c r="I10" s="5" t="s">
        <v>5509</v>
      </c>
    </row>
    <row r="11" spans="1:9">
      <c r="E11" s="5" t="s">
        <v>5499</v>
      </c>
      <c r="I11" s="5" t="s">
        <v>5510</v>
      </c>
    </row>
    <row r="12" spans="1:9">
      <c r="E12" s="5" t="s">
        <v>5500</v>
      </c>
    </row>
    <row r="13" spans="1:9">
      <c r="E13" s="5" t="s">
        <v>5501</v>
      </c>
    </row>
    <row r="15" spans="1:9">
      <c r="A15" s="3" t="s">
        <v>5511</v>
      </c>
      <c r="E15" s="3" t="s">
        <v>5543</v>
      </c>
      <c r="I15" s="3" t="s">
        <v>5532</v>
      </c>
    </row>
    <row r="16" spans="1:9">
      <c r="A16" s="5" t="s">
        <v>5512</v>
      </c>
      <c r="E16" s="5" t="s">
        <v>5544</v>
      </c>
      <c r="I16" s="5" t="s">
        <v>5533</v>
      </c>
    </row>
    <row r="17" spans="1:9">
      <c r="A17" s="5" t="s">
        <v>5513</v>
      </c>
      <c r="E17" s="5" t="s">
        <v>5545</v>
      </c>
      <c r="I17" s="5" t="s">
        <v>5534</v>
      </c>
    </row>
    <row r="18" spans="1:9">
      <c r="A18" s="5" t="s">
        <v>5514</v>
      </c>
      <c r="E18" s="5" t="s">
        <v>5546</v>
      </c>
      <c r="I18" s="5" t="s">
        <v>5535</v>
      </c>
    </row>
    <row r="19" spans="1:9">
      <c r="A19" s="5" t="s">
        <v>5515</v>
      </c>
      <c r="E19" s="5" t="s">
        <v>5547</v>
      </c>
      <c r="I19" s="5" t="s">
        <v>5536</v>
      </c>
    </row>
    <row r="20" spans="1:9">
      <c r="A20" s="5" t="s">
        <v>5516</v>
      </c>
      <c r="E20" s="5" t="s">
        <v>5548</v>
      </c>
      <c r="I20" s="5" t="s">
        <v>5537</v>
      </c>
    </row>
    <row r="21" spans="1:9">
      <c r="A21" s="5" t="s">
        <v>5517</v>
      </c>
      <c r="E21" s="5" t="s">
        <v>5549</v>
      </c>
      <c r="I21" s="5" t="s">
        <v>5538</v>
      </c>
    </row>
    <row r="22" spans="1:9">
      <c r="A22" s="5" t="s">
        <v>5518</v>
      </c>
      <c r="E22" s="5" t="s">
        <v>5550</v>
      </c>
      <c r="I22" s="5" t="s">
        <v>5539</v>
      </c>
    </row>
    <row r="23" spans="1:9">
      <c r="A23" s="5" t="s">
        <v>5519</v>
      </c>
      <c r="E23" s="5" t="s">
        <v>5551</v>
      </c>
      <c r="I23" s="5" t="s">
        <v>5540</v>
      </c>
    </row>
    <row r="24" spans="1:9">
      <c r="A24" s="5" t="s">
        <v>5520</v>
      </c>
      <c r="E24" s="5" t="s">
        <v>5552</v>
      </c>
      <c r="I24" s="5" t="s">
        <v>5541</v>
      </c>
    </row>
    <row r="25" spans="1:9">
      <c r="A25" s="5" t="s">
        <v>5521</v>
      </c>
      <c r="E25" s="5" t="s">
        <v>5553</v>
      </c>
      <c r="I25" s="5" t="s">
        <v>5542</v>
      </c>
    </row>
    <row r="26" spans="1:9">
      <c r="A26" s="5" t="s">
        <v>5522</v>
      </c>
      <c r="E26" s="5" t="s">
        <v>5554</v>
      </c>
    </row>
    <row r="27" spans="1:9">
      <c r="A27" s="5" t="s">
        <v>5523</v>
      </c>
      <c r="E27" s="5" t="s">
        <v>5555</v>
      </c>
    </row>
    <row r="28" spans="1:9">
      <c r="A28" s="5" t="s">
        <v>5524</v>
      </c>
      <c r="E28" s="5" t="s">
        <v>5556</v>
      </c>
    </row>
    <row r="29" spans="1:9">
      <c r="A29" s="5" t="s">
        <v>5525</v>
      </c>
      <c r="E29" s="5" t="s">
        <v>5557</v>
      </c>
    </row>
    <row r="30" spans="1:9">
      <c r="A30" s="5" t="s">
        <v>5526</v>
      </c>
      <c r="E30" s="5" t="s">
        <v>5558</v>
      </c>
    </row>
    <row r="31" spans="1:9">
      <c r="A31" s="5" t="s">
        <v>5527</v>
      </c>
      <c r="E31" s="5" t="s">
        <v>5559</v>
      </c>
    </row>
    <row r="32" spans="1:9">
      <c r="A32" s="5" t="s">
        <v>5528</v>
      </c>
      <c r="E32" s="5" t="s">
        <v>5560</v>
      </c>
    </row>
    <row r="33" spans="1:5">
      <c r="A33" s="5" t="s">
        <v>5529</v>
      </c>
      <c r="E33" s="5" t="s">
        <v>5561</v>
      </c>
    </row>
    <row r="34" spans="1:5">
      <c r="A34" s="5" t="s">
        <v>5530</v>
      </c>
      <c r="E34" s="5" t="s">
        <v>5562</v>
      </c>
    </row>
    <row r="35" spans="1:5">
      <c r="A35" s="5" t="s">
        <v>5531</v>
      </c>
      <c r="E35" s="5" t="s">
        <v>5563</v>
      </c>
    </row>
    <row r="37" spans="1:5">
      <c r="A37" s="3" t="s">
        <v>5564</v>
      </c>
      <c r="E37" s="3" t="s">
        <v>5585</v>
      </c>
    </row>
    <row r="38" spans="1:5">
      <c r="A38" s="5" t="s">
        <v>5565</v>
      </c>
      <c r="E38" s="5" t="s">
        <v>5586</v>
      </c>
    </row>
    <row r="39" spans="1:5">
      <c r="A39" s="5" t="s">
        <v>5566</v>
      </c>
      <c r="E39" s="5" t="s">
        <v>5587</v>
      </c>
    </row>
    <row r="40" spans="1:5">
      <c r="A40" s="5" t="s">
        <v>5567</v>
      </c>
      <c r="E40" s="5" t="s">
        <v>5588</v>
      </c>
    </row>
    <row r="41" spans="1:5">
      <c r="A41" s="5" t="s">
        <v>5568</v>
      </c>
      <c r="E41" s="5" t="s">
        <v>5589</v>
      </c>
    </row>
    <row r="42" spans="1:5">
      <c r="A42" s="5" t="s">
        <v>5569</v>
      </c>
      <c r="E42" s="5" t="s">
        <v>5590</v>
      </c>
    </row>
    <row r="43" spans="1:5">
      <c r="A43" s="5" t="s">
        <v>5570</v>
      </c>
      <c r="E43" s="5" t="s">
        <v>5591</v>
      </c>
    </row>
    <row r="44" spans="1:5">
      <c r="A44" s="5" t="s">
        <v>5571</v>
      </c>
      <c r="E44" s="5" t="s">
        <v>5592</v>
      </c>
    </row>
    <row r="45" spans="1:5">
      <c r="A45" s="5" t="s">
        <v>5572</v>
      </c>
      <c r="E45" s="5" t="s">
        <v>5593</v>
      </c>
    </row>
    <row r="46" spans="1:5">
      <c r="A46" s="5" t="s">
        <v>5573</v>
      </c>
      <c r="E46" s="5" t="s">
        <v>5594</v>
      </c>
    </row>
    <row r="47" spans="1:5">
      <c r="A47" s="5" t="s">
        <v>5574</v>
      </c>
      <c r="E47" s="5" t="s">
        <v>5595</v>
      </c>
    </row>
    <row r="48" spans="1:5">
      <c r="A48" s="5" t="s">
        <v>5575</v>
      </c>
      <c r="E48" s="5" t="s">
        <v>5596</v>
      </c>
    </row>
    <row r="49" spans="1:5">
      <c r="A49" s="5" t="s">
        <v>5576</v>
      </c>
      <c r="E49" s="5" t="s">
        <v>5597</v>
      </c>
    </row>
    <row r="50" spans="1:5">
      <c r="A50" s="5" t="s">
        <v>5577</v>
      </c>
      <c r="E50" s="5" t="s">
        <v>5598</v>
      </c>
    </row>
    <row r="51" spans="1:5">
      <c r="A51" s="5" t="s">
        <v>5578</v>
      </c>
      <c r="E51" s="5" t="s">
        <v>5599</v>
      </c>
    </row>
    <row r="52" spans="1:5">
      <c r="A52" s="5" t="s">
        <v>5579</v>
      </c>
      <c r="E52" s="5" t="s">
        <v>5600</v>
      </c>
    </row>
    <row r="53" spans="1:5">
      <c r="A53" s="5" t="s">
        <v>5580</v>
      </c>
      <c r="E53" s="5" t="s">
        <v>5601</v>
      </c>
    </row>
    <row r="54" spans="1:5">
      <c r="A54" s="5" t="s">
        <v>5581</v>
      </c>
      <c r="E54" s="5" t="s">
        <v>5602</v>
      </c>
    </row>
    <row r="55" spans="1:5">
      <c r="A55" s="5" t="s">
        <v>5582</v>
      </c>
      <c r="E55" s="5" t="s">
        <v>5603</v>
      </c>
    </row>
    <row r="56" spans="1:5">
      <c r="A56" s="5" t="s">
        <v>5583</v>
      </c>
      <c r="E56" s="5" t="s">
        <v>5604</v>
      </c>
    </row>
    <row r="57" spans="1:5">
      <c r="A57" s="5" t="s">
        <v>5584</v>
      </c>
      <c r="E57" s="5" t="s">
        <v>5605</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98F95-B3A6-45EA-BE53-AFE3E044DFF5}">
  <sheetPr codeName="Лист55">
    <tabColor rgb="FFFFFF00"/>
  </sheetPr>
  <dimension ref="A1:I50"/>
  <sheetViews>
    <sheetView topLeftCell="A28" workbookViewId="0">
      <selection activeCell="F58" sqref="F58"/>
    </sheetView>
  </sheetViews>
  <sheetFormatPr defaultRowHeight="15"/>
  <cols>
    <col min="1" max="16384" width="9.140625" style="6"/>
  </cols>
  <sheetData>
    <row r="1" spans="1:9" ht="18.75">
      <c r="A1" s="4" t="s">
        <v>5606</v>
      </c>
    </row>
    <row r="2" spans="1:9">
      <c r="A2" s="3" t="s">
        <v>5607</v>
      </c>
      <c r="E2" s="3" t="s">
        <v>5653</v>
      </c>
      <c r="I2" s="3" t="s">
        <v>5663</v>
      </c>
    </row>
    <row r="3" spans="1:9">
      <c r="A3" s="5" t="s">
        <v>5608</v>
      </c>
      <c r="E3" s="5" t="s">
        <v>5375</v>
      </c>
      <c r="I3" s="5" t="s">
        <v>5664</v>
      </c>
    </row>
    <row r="4" spans="1:9">
      <c r="A4" s="5" t="s">
        <v>5609</v>
      </c>
      <c r="E4" s="5" t="s">
        <v>5654</v>
      </c>
      <c r="I4" s="5" t="s">
        <v>1252</v>
      </c>
    </row>
    <row r="5" spans="1:9">
      <c r="A5" s="5" t="s">
        <v>5610</v>
      </c>
      <c r="E5" s="5" t="s">
        <v>5086</v>
      </c>
      <c r="I5" s="5" t="s">
        <v>5665</v>
      </c>
    </row>
    <row r="6" spans="1:9">
      <c r="A6" s="5" t="s">
        <v>5611</v>
      </c>
      <c r="E6" s="5" t="s">
        <v>5655</v>
      </c>
      <c r="I6" s="5" t="s">
        <v>5666</v>
      </c>
    </row>
    <row r="7" spans="1:9">
      <c r="A7" s="5" t="s">
        <v>5612</v>
      </c>
      <c r="E7" s="5" t="s">
        <v>5656</v>
      </c>
      <c r="I7" s="5" t="s">
        <v>5667</v>
      </c>
    </row>
    <row r="8" spans="1:9">
      <c r="A8" s="5" t="s">
        <v>5613</v>
      </c>
      <c r="E8" s="5" t="s">
        <v>5657</v>
      </c>
      <c r="I8" s="5" t="s">
        <v>1256</v>
      </c>
    </row>
    <row r="9" spans="1:9">
      <c r="A9" s="5" t="s">
        <v>5614</v>
      </c>
      <c r="E9" s="5" t="s">
        <v>5658</v>
      </c>
      <c r="I9" s="5" t="s">
        <v>5668</v>
      </c>
    </row>
    <row r="10" spans="1:9">
      <c r="A10" s="5" t="s">
        <v>5615</v>
      </c>
      <c r="E10" s="5" t="s">
        <v>5659</v>
      </c>
      <c r="I10" s="5" t="s">
        <v>5669</v>
      </c>
    </row>
    <row r="11" spans="1:9">
      <c r="A11" s="5" t="s">
        <v>5616</v>
      </c>
      <c r="E11" s="5" t="s">
        <v>5660</v>
      </c>
      <c r="I11" s="5" t="s">
        <v>5670</v>
      </c>
    </row>
    <row r="12" spans="1:9">
      <c r="A12" s="5" t="s">
        <v>5617</v>
      </c>
      <c r="E12" s="5" t="s">
        <v>5661</v>
      </c>
      <c r="I12" s="5" t="s">
        <v>5671</v>
      </c>
    </row>
    <row r="13" spans="1:9">
      <c r="A13" s="5" t="s">
        <v>5618</v>
      </c>
      <c r="E13" s="5" t="s">
        <v>5662</v>
      </c>
      <c r="I13" s="5" t="s">
        <v>5672</v>
      </c>
    </row>
    <row r="14" spans="1:9">
      <c r="A14" s="5" t="s">
        <v>5619</v>
      </c>
      <c r="E14" s="5" t="s">
        <v>1262</v>
      </c>
      <c r="I14" s="5" t="s">
        <v>5673</v>
      </c>
    </row>
    <row r="16" spans="1:9">
      <c r="A16" s="3" t="s">
        <v>5620</v>
      </c>
      <c r="E16" s="3" t="s">
        <v>5632</v>
      </c>
      <c r="I16" s="3" t="s">
        <v>5674</v>
      </c>
    </row>
    <row r="17" spans="1:9">
      <c r="A17" s="5" t="s">
        <v>5073</v>
      </c>
      <c r="E17" s="5" t="s">
        <v>5633</v>
      </c>
      <c r="I17" s="5" t="s">
        <v>5675</v>
      </c>
    </row>
    <row r="18" spans="1:9">
      <c r="A18" s="5" t="s">
        <v>5074</v>
      </c>
      <c r="E18" s="5" t="s">
        <v>5634</v>
      </c>
      <c r="I18" s="5" t="s">
        <v>5676</v>
      </c>
    </row>
    <row r="19" spans="1:9">
      <c r="A19" s="5" t="s">
        <v>5075</v>
      </c>
      <c r="E19" s="5" t="s">
        <v>5635</v>
      </c>
      <c r="I19" s="5" t="s">
        <v>5677</v>
      </c>
    </row>
    <row r="20" spans="1:9">
      <c r="A20" s="5" t="s">
        <v>5621</v>
      </c>
      <c r="E20" s="5" t="s">
        <v>5636</v>
      </c>
      <c r="I20" s="5" t="s">
        <v>5678</v>
      </c>
    </row>
    <row r="21" spans="1:9">
      <c r="A21" s="5" t="s">
        <v>5077</v>
      </c>
      <c r="E21" s="5" t="s">
        <v>5637</v>
      </c>
      <c r="I21" s="5" t="s">
        <v>5679</v>
      </c>
    </row>
    <row r="22" spans="1:9">
      <c r="A22" s="5" t="s">
        <v>5078</v>
      </c>
      <c r="E22" s="5" t="s">
        <v>5638</v>
      </c>
      <c r="I22" s="5" t="s">
        <v>5680</v>
      </c>
    </row>
    <row r="23" spans="1:9">
      <c r="A23" s="5" t="s">
        <v>5079</v>
      </c>
      <c r="E23" s="5" t="s">
        <v>5639</v>
      </c>
      <c r="I23" s="5" t="s">
        <v>5681</v>
      </c>
    </row>
    <row r="24" spans="1:9">
      <c r="A24" s="5" t="s">
        <v>5080</v>
      </c>
      <c r="E24" s="5" t="s">
        <v>5640</v>
      </c>
      <c r="I24" s="5" t="s">
        <v>5682</v>
      </c>
    </row>
    <row r="25" spans="1:9">
      <c r="A25" s="5" t="s">
        <v>5081</v>
      </c>
      <c r="E25" s="5" t="s">
        <v>5641</v>
      </c>
      <c r="I25" s="5" t="s">
        <v>5683</v>
      </c>
    </row>
    <row r="26" spans="1:9">
      <c r="A26" s="5" t="s">
        <v>5082</v>
      </c>
      <c r="E26" s="5" t="s">
        <v>5642</v>
      </c>
      <c r="I26" s="5" t="s">
        <v>5684</v>
      </c>
    </row>
    <row r="27" spans="1:9">
      <c r="A27" s="5" t="s">
        <v>5622</v>
      </c>
      <c r="E27" s="5" t="s">
        <v>5643</v>
      </c>
      <c r="I27" s="5" t="s">
        <v>5685</v>
      </c>
    </row>
    <row r="28" spans="1:9">
      <c r="A28" s="5" t="s">
        <v>5623</v>
      </c>
      <c r="E28" s="5" t="s">
        <v>5644</v>
      </c>
      <c r="I28" s="5" t="s">
        <v>5686</v>
      </c>
    </row>
    <row r="29" spans="1:9">
      <c r="A29" s="5" t="s">
        <v>5624</v>
      </c>
      <c r="E29" s="5" t="s">
        <v>5645</v>
      </c>
      <c r="I29" s="3" t="s">
        <v>5687</v>
      </c>
    </row>
    <row r="30" spans="1:9">
      <c r="A30" s="5" t="s">
        <v>5625</v>
      </c>
      <c r="E30" s="5" t="s">
        <v>5646</v>
      </c>
    </row>
    <row r="31" spans="1:9">
      <c r="A31" s="5" t="s">
        <v>5626</v>
      </c>
      <c r="E31" s="5" t="s">
        <v>5647</v>
      </c>
    </row>
    <row r="32" spans="1:9">
      <c r="A32" s="5" t="s">
        <v>5627</v>
      </c>
      <c r="E32" s="5" t="s">
        <v>5648</v>
      </c>
    </row>
    <row r="33" spans="1:5">
      <c r="A33" s="5" t="s">
        <v>5628</v>
      </c>
      <c r="E33" s="5" t="s">
        <v>5649</v>
      </c>
    </row>
    <row r="34" spans="1:5">
      <c r="A34" s="5" t="s">
        <v>5629</v>
      </c>
      <c r="E34" s="5" t="s">
        <v>5650</v>
      </c>
    </row>
    <row r="35" spans="1:5">
      <c r="A35" s="5" t="s">
        <v>5630</v>
      </c>
      <c r="E35" s="5" t="s">
        <v>5651</v>
      </c>
    </row>
    <row r="36" spans="1:5">
      <c r="A36" s="5" t="s">
        <v>5631</v>
      </c>
      <c r="E36" s="5" t="s">
        <v>5652</v>
      </c>
    </row>
    <row r="38" spans="1:5">
      <c r="A38" s="5" t="s">
        <v>5688</v>
      </c>
      <c r="E38" s="3" t="s">
        <v>5700</v>
      </c>
    </row>
    <row r="39" spans="1:5">
      <c r="A39" s="5" t="s">
        <v>5689</v>
      </c>
      <c r="E39" s="5" t="s">
        <v>5701</v>
      </c>
    </row>
    <row r="40" spans="1:5">
      <c r="A40" s="5" t="s">
        <v>5690</v>
      </c>
      <c r="E40" s="5" t="s">
        <v>5702</v>
      </c>
    </row>
    <row r="41" spans="1:5">
      <c r="A41" s="5" t="s">
        <v>5691</v>
      </c>
      <c r="E41" s="5" t="s">
        <v>5703</v>
      </c>
    </row>
    <row r="42" spans="1:5">
      <c r="A42" s="5" t="s">
        <v>5692</v>
      </c>
      <c r="E42" s="5" t="s">
        <v>5704</v>
      </c>
    </row>
    <row r="43" spans="1:5">
      <c r="A43" s="5" t="s">
        <v>5693</v>
      </c>
      <c r="E43" s="5" t="s">
        <v>5705</v>
      </c>
    </row>
    <row r="44" spans="1:5">
      <c r="A44" s="5" t="s">
        <v>5694</v>
      </c>
      <c r="E44" s="5" t="s">
        <v>5706</v>
      </c>
    </row>
    <row r="45" spans="1:5">
      <c r="A45" s="5" t="s">
        <v>5695</v>
      </c>
      <c r="E45" s="5" t="s">
        <v>5707</v>
      </c>
    </row>
    <row r="46" spans="1:5">
      <c r="A46" s="5" t="s">
        <v>5696</v>
      </c>
      <c r="E46" s="5" t="s">
        <v>5708</v>
      </c>
    </row>
    <row r="47" spans="1:5">
      <c r="A47" s="5" t="s">
        <v>5697</v>
      </c>
      <c r="E47" s="5" t="s">
        <v>5709</v>
      </c>
    </row>
    <row r="48" spans="1:5">
      <c r="A48" s="5" t="s">
        <v>5698</v>
      </c>
      <c r="E48" s="5" t="s">
        <v>5710</v>
      </c>
    </row>
    <row r="49" spans="1:5">
      <c r="A49" s="5" t="s">
        <v>5699</v>
      </c>
      <c r="E49" s="5" t="s">
        <v>5711</v>
      </c>
    </row>
    <row r="50" spans="1:5">
      <c r="E50" s="5" t="s">
        <v>5712</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6A82D-E8A6-419E-8377-CEAAF5D43186}">
  <sheetPr codeName="Лист56">
    <tabColor rgb="FFFFFF00"/>
  </sheetPr>
  <dimension ref="A1:I79"/>
  <sheetViews>
    <sheetView topLeftCell="A53" workbookViewId="0">
      <selection activeCell="L69" sqref="L69"/>
    </sheetView>
  </sheetViews>
  <sheetFormatPr defaultRowHeight="15"/>
  <cols>
    <col min="1" max="16384" width="9.140625" style="6"/>
  </cols>
  <sheetData>
    <row r="1" spans="1:9" ht="18.75">
      <c r="A1" s="4" t="s">
        <v>4962</v>
      </c>
    </row>
    <row r="2" spans="1:9">
      <c r="A2" s="14" t="s">
        <v>1317</v>
      </c>
    </row>
    <row r="3" spans="1:9">
      <c r="A3" s="3" t="s">
        <v>4963</v>
      </c>
      <c r="E3" s="3" t="s">
        <v>4974</v>
      </c>
      <c r="I3" s="3" t="s">
        <v>5003</v>
      </c>
    </row>
    <row r="4" spans="1:9">
      <c r="A4" s="5" t="s">
        <v>4964</v>
      </c>
      <c r="E4" s="5" t="s">
        <v>4975</v>
      </c>
      <c r="I4" s="5" t="s">
        <v>5004</v>
      </c>
    </row>
    <row r="5" spans="1:9">
      <c r="A5" s="5" t="s">
        <v>4965</v>
      </c>
      <c r="E5" s="5" t="s">
        <v>4976</v>
      </c>
      <c r="I5" s="5" t="s">
        <v>5005</v>
      </c>
    </row>
    <row r="6" spans="1:9">
      <c r="A6" s="5" t="s">
        <v>4966</v>
      </c>
      <c r="E6" s="5" t="s">
        <v>4977</v>
      </c>
      <c r="I6" s="5" t="s">
        <v>5006</v>
      </c>
    </row>
    <row r="7" spans="1:9">
      <c r="A7" s="5" t="s">
        <v>4967</v>
      </c>
      <c r="E7" s="5" t="s">
        <v>4978</v>
      </c>
      <c r="I7" s="5" t="s">
        <v>5007</v>
      </c>
    </row>
    <row r="8" spans="1:9">
      <c r="A8" s="5" t="s">
        <v>4968</v>
      </c>
      <c r="E8" s="5" t="s">
        <v>4979</v>
      </c>
      <c r="I8" s="5" t="s">
        <v>5008</v>
      </c>
    </row>
    <row r="9" spans="1:9">
      <c r="A9" s="5" t="s">
        <v>4969</v>
      </c>
      <c r="E9" s="5" t="s">
        <v>4980</v>
      </c>
      <c r="I9" s="5" t="s">
        <v>5009</v>
      </c>
    </row>
    <row r="10" spans="1:9">
      <c r="A10" s="5" t="s">
        <v>4970</v>
      </c>
      <c r="E10" s="5" t="s">
        <v>4981</v>
      </c>
      <c r="I10" s="5" t="s">
        <v>5010</v>
      </c>
    </row>
    <row r="11" spans="1:9">
      <c r="A11" s="5" t="s">
        <v>4971</v>
      </c>
      <c r="E11" s="5" t="s">
        <v>4982</v>
      </c>
      <c r="I11" s="5" t="s">
        <v>5011</v>
      </c>
    </row>
    <row r="12" spans="1:9">
      <c r="A12" s="5" t="s">
        <v>4972</v>
      </c>
      <c r="I12" s="5" t="s">
        <v>5012</v>
      </c>
    </row>
    <row r="13" spans="1:9">
      <c r="A13" s="5" t="s">
        <v>4973</v>
      </c>
      <c r="I13" s="5" t="s">
        <v>5013</v>
      </c>
    </row>
    <row r="14" spans="1:9">
      <c r="I14" s="5" t="s">
        <v>5014</v>
      </c>
    </row>
    <row r="15" spans="1:9">
      <c r="I15" s="5" t="s">
        <v>5015</v>
      </c>
    </row>
    <row r="17" spans="1:9">
      <c r="A17" s="3" t="s">
        <v>4983</v>
      </c>
      <c r="E17" s="3" t="s">
        <v>5016</v>
      </c>
      <c r="I17" s="3" t="s">
        <v>5019</v>
      </c>
    </row>
    <row r="18" spans="1:9">
      <c r="A18" s="5" t="s">
        <v>1176</v>
      </c>
      <c r="E18" s="5" t="s">
        <v>1189</v>
      </c>
      <c r="I18" s="5" t="s">
        <v>5020</v>
      </c>
    </row>
    <row r="19" spans="1:9">
      <c r="A19" s="5" t="s">
        <v>4984</v>
      </c>
      <c r="E19" s="5" t="s">
        <v>1190</v>
      </c>
      <c r="I19" s="5" t="s">
        <v>5021</v>
      </c>
    </row>
    <row r="20" spans="1:9">
      <c r="A20" s="5" t="s">
        <v>4985</v>
      </c>
      <c r="E20" s="5" t="s">
        <v>1191</v>
      </c>
      <c r="I20" s="5" t="s">
        <v>5022</v>
      </c>
    </row>
    <row r="21" spans="1:9">
      <c r="A21" s="5" t="s">
        <v>4986</v>
      </c>
      <c r="E21" s="5" t="s">
        <v>1192</v>
      </c>
      <c r="I21" s="5" t="s">
        <v>5023</v>
      </c>
    </row>
    <row r="22" spans="1:9">
      <c r="A22" s="5" t="s">
        <v>4987</v>
      </c>
      <c r="E22" s="5" t="s">
        <v>1193</v>
      </c>
      <c r="I22" s="5" t="s">
        <v>1569</v>
      </c>
    </row>
    <row r="23" spans="1:9">
      <c r="A23" s="5" t="s">
        <v>4988</v>
      </c>
      <c r="E23" s="5" t="s">
        <v>1194</v>
      </c>
      <c r="I23" s="5" t="s">
        <v>5024</v>
      </c>
    </row>
    <row r="24" spans="1:9">
      <c r="A24" s="5" t="s">
        <v>4989</v>
      </c>
      <c r="E24" s="5" t="s">
        <v>1195</v>
      </c>
      <c r="I24" s="5" t="s">
        <v>5025</v>
      </c>
    </row>
    <row r="25" spans="1:9">
      <c r="A25" s="5" t="s">
        <v>4990</v>
      </c>
      <c r="E25" s="5" t="s">
        <v>1196</v>
      </c>
      <c r="I25" s="5" t="s">
        <v>5026</v>
      </c>
    </row>
    <row r="26" spans="1:9">
      <c r="A26" s="5" t="s">
        <v>4991</v>
      </c>
      <c r="E26" s="5" t="s">
        <v>1197</v>
      </c>
    </row>
    <row r="27" spans="1:9">
      <c r="A27" s="5" t="s">
        <v>4992</v>
      </c>
      <c r="E27" s="5" t="s">
        <v>1198</v>
      </c>
    </row>
    <row r="28" spans="1:9">
      <c r="A28" s="5" t="s">
        <v>4993</v>
      </c>
      <c r="E28" s="5" t="s">
        <v>5017</v>
      </c>
    </row>
    <row r="29" spans="1:9">
      <c r="A29" s="5" t="s">
        <v>4994</v>
      </c>
      <c r="E29" s="5" t="s">
        <v>5018</v>
      </c>
    </row>
    <row r="30" spans="1:9">
      <c r="A30" s="5" t="s">
        <v>4995</v>
      </c>
    </row>
    <row r="31" spans="1:9">
      <c r="A31" s="5" t="s">
        <v>4996</v>
      </c>
    </row>
    <row r="32" spans="1:9">
      <c r="A32" s="5" t="s">
        <v>4997</v>
      </c>
    </row>
    <row r="33" spans="1:9">
      <c r="A33" s="5" t="s">
        <v>4998</v>
      </c>
    </row>
    <row r="34" spans="1:9">
      <c r="A34" s="5" t="s">
        <v>4999</v>
      </c>
    </row>
    <row r="35" spans="1:9">
      <c r="A35" s="5" t="s">
        <v>5000</v>
      </c>
    </row>
    <row r="36" spans="1:9">
      <c r="A36" s="5" t="s">
        <v>5001</v>
      </c>
    </row>
    <row r="37" spans="1:9">
      <c r="A37" s="5" t="s">
        <v>5002</v>
      </c>
    </row>
    <row r="39" spans="1:9">
      <c r="A39" s="3" t="s">
        <v>5027</v>
      </c>
      <c r="E39" s="3" t="s">
        <v>5030</v>
      </c>
      <c r="I39" s="3" t="s">
        <v>5039</v>
      </c>
    </row>
    <row r="40" spans="1:9">
      <c r="A40" s="5" t="s">
        <v>5028</v>
      </c>
      <c r="E40" s="5" t="s">
        <v>5031</v>
      </c>
      <c r="I40" s="5" t="s">
        <v>5040</v>
      </c>
    </row>
    <row r="41" spans="1:9">
      <c r="A41" s="5" t="s">
        <v>5029</v>
      </c>
      <c r="E41" s="5" t="s">
        <v>5032</v>
      </c>
      <c r="I41" s="5" t="s">
        <v>1383</v>
      </c>
    </row>
    <row r="42" spans="1:9">
      <c r="A42" s="5" t="s">
        <v>1352</v>
      </c>
      <c r="E42" s="5" t="s">
        <v>5033</v>
      </c>
      <c r="I42" s="5" t="s">
        <v>1384</v>
      </c>
    </row>
    <row r="43" spans="1:9">
      <c r="A43" s="5" t="s">
        <v>1353</v>
      </c>
      <c r="E43" s="5" t="s">
        <v>5034</v>
      </c>
      <c r="I43" s="5" t="s">
        <v>1385</v>
      </c>
    </row>
    <row r="44" spans="1:9">
      <c r="A44" s="5" t="s">
        <v>1354</v>
      </c>
      <c r="E44" s="5" t="s">
        <v>5035</v>
      </c>
      <c r="I44" s="5" t="s">
        <v>5041</v>
      </c>
    </row>
    <row r="45" spans="1:9">
      <c r="A45" s="5" t="s">
        <v>1355</v>
      </c>
      <c r="E45" s="5" t="s">
        <v>5036</v>
      </c>
      <c r="I45" s="5" t="s">
        <v>5042</v>
      </c>
    </row>
    <row r="46" spans="1:9">
      <c r="A46" s="5" t="s">
        <v>1356</v>
      </c>
      <c r="E46" s="5" t="s">
        <v>5037</v>
      </c>
      <c r="I46" s="5" t="s">
        <v>5043</v>
      </c>
    </row>
    <row r="47" spans="1:9">
      <c r="A47" s="5" t="s">
        <v>1357</v>
      </c>
      <c r="E47" s="5" t="s">
        <v>5038</v>
      </c>
      <c r="I47" s="5" t="s">
        <v>5044</v>
      </c>
    </row>
    <row r="48" spans="1:9">
      <c r="A48" s="5" t="s">
        <v>1358</v>
      </c>
      <c r="I48" s="5" t="s">
        <v>5045</v>
      </c>
    </row>
    <row r="49" spans="1:9">
      <c r="A49" s="5" t="s">
        <v>1359</v>
      </c>
      <c r="I49" s="5" t="s">
        <v>5046</v>
      </c>
    </row>
    <row r="51" spans="1:9">
      <c r="A51" s="3" t="s">
        <v>5047</v>
      </c>
      <c r="E51" s="3" t="s">
        <v>5048</v>
      </c>
      <c r="I51" s="3" t="s">
        <v>5059</v>
      </c>
    </row>
    <row r="52" spans="1:9">
      <c r="A52" s="5" t="s">
        <v>1284</v>
      </c>
      <c r="E52" s="5" t="s">
        <v>5049</v>
      </c>
      <c r="I52" s="5" t="s">
        <v>1291</v>
      </c>
    </row>
    <row r="53" spans="1:9">
      <c r="A53" s="5" t="s">
        <v>1285</v>
      </c>
      <c r="E53" s="5" t="s">
        <v>5050</v>
      </c>
      <c r="I53" s="5" t="s">
        <v>5060</v>
      </c>
    </row>
    <row r="54" spans="1:9">
      <c r="A54" s="5" t="s">
        <v>1286</v>
      </c>
      <c r="E54" s="5" t="s">
        <v>5051</v>
      </c>
      <c r="I54" s="5" t="s">
        <v>5061</v>
      </c>
    </row>
    <row r="55" spans="1:9">
      <c r="A55" s="5" t="s">
        <v>1287</v>
      </c>
      <c r="E55" s="5" t="s">
        <v>5052</v>
      </c>
      <c r="I55" s="5" t="s">
        <v>5062</v>
      </c>
    </row>
    <row r="56" spans="1:9">
      <c r="A56" s="5" t="s">
        <v>1288</v>
      </c>
      <c r="E56" s="5" t="s">
        <v>5053</v>
      </c>
      <c r="I56" s="5" t="s">
        <v>5063</v>
      </c>
    </row>
    <row r="57" spans="1:9">
      <c r="A57" s="5" t="s">
        <v>1389</v>
      </c>
      <c r="E57" s="5" t="s">
        <v>5054</v>
      </c>
      <c r="I57" s="5" t="s">
        <v>5064</v>
      </c>
    </row>
    <row r="58" spans="1:9">
      <c r="A58" s="5" t="s">
        <v>1390</v>
      </c>
      <c r="E58" s="5" t="s">
        <v>5055</v>
      </c>
      <c r="I58" s="5" t="s">
        <v>5065</v>
      </c>
    </row>
    <row r="59" spans="1:9">
      <c r="A59" s="5" t="s">
        <v>1391</v>
      </c>
      <c r="E59" s="5" t="s">
        <v>5056</v>
      </c>
      <c r="I59" s="5" t="s">
        <v>5066</v>
      </c>
    </row>
    <row r="60" spans="1:9">
      <c r="A60" s="5" t="s">
        <v>1392</v>
      </c>
      <c r="E60" s="5" t="s">
        <v>5057</v>
      </c>
      <c r="I60" s="5" t="s">
        <v>5067</v>
      </c>
    </row>
    <row r="61" spans="1:9">
      <c r="A61" s="5" t="s">
        <v>1393</v>
      </c>
      <c r="E61" s="5" t="s">
        <v>5058</v>
      </c>
      <c r="I61" s="5" t="s">
        <v>5068</v>
      </c>
    </row>
    <row r="62" spans="1:9">
      <c r="I62" s="5" t="s">
        <v>5069</v>
      </c>
    </row>
    <row r="63" spans="1:9">
      <c r="I63" s="5" t="s">
        <v>5070</v>
      </c>
    </row>
    <row r="65" spans="1:5">
      <c r="A65" s="3" t="s">
        <v>5071</v>
      </c>
    </row>
    <row r="66" spans="1:5">
      <c r="A66" s="3"/>
    </row>
    <row r="67" spans="1:5">
      <c r="A67" s="3" t="s">
        <v>5072</v>
      </c>
      <c r="E67" s="3" t="s">
        <v>5085</v>
      </c>
    </row>
    <row r="68" spans="1:5">
      <c r="A68" s="5" t="s">
        <v>5073</v>
      </c>
      <c r="E68" s="5" t="s">
        <v>1419</v>
      </c>
    </row>
    <row r="69" spans="1:5">
      <c r="A69" s="5" t="s">
        <v>5074</v>
      </c>
      <c r="E69" s="5" t="s">
        <v>1252</v>
      </c>
    </row>
    <row r="70" spans="1:5">
      <c r="A70" s="5" t="s">
        <v>5075</v>
      </c>
      <c r="E70" s="5" t="s">
        <v>5086</v>
      </c>
    </row>
    <row r="71" spans="1:5">
      <c r="A71" s="5" t="s">
        <v>5076</v>
      </c>
      <c r="E71" s="5" t="s">
        <v>5087</v>
      </c>
    </row>
    <row r="72" spans="1:5">
      <c r="A72" s="5" t="s">
        <v>5077</v>
      </c>
      <c r="E72" s="5" t="s">
        <v>1420</v>
      </c>
    </row>
    <row r="73" spans="1:5">
      <c r="A73" s="5" t="s">
        <v>5078</v>
      </c>
      <c r="E73" s="5" t="s">
        <v>1256</v>
      </c>
    </row>
    <row r="74" spans="1:5">
      <c r="A74" s="5" t="s">
        <v>5079</v>
      </c>
      <c r="E74" s="5" t="s">
        <v>5088</v>
      </c>
    </row>
    <row r="75" spans="1:5">
      <c r="A75" s="5" t="s">
        <v>5080</v>
      </c>
      <c r="E75" s="5" t="s">
        <v>5089</v>
      </c>
    </row>
    <row r="76" spans="1:5">
      <c r="A76" s="5" t="s">
        <v>5081</v>
      </c>
      <c r="E76" s="5" t="s">
        <v>1259</v>
      </c>
    </row>
    <row r="77" spans="1:5">
      <c r="A77" s="5" t="s">
        <v>5082</v>
      </c>
      <c r="E77" s="5" t="s">
        <v>1423</v>
      </c>
    </row>
    <row r="78" spans="1:5">
      <c r="A78" s="5" t="s">
        <v>5083</v>
      </c>
      <c r="E78" s="5" t="s">
        <v>1261</v>
      </c>
    </row>
    <row r="79" spans="1:5">
      <c r="A79" s="5" t="s">
        <v>5084</v>
      </c>
      <c r="E79" s="5" t="s">
        <v>1262</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ADB2F-8890-4A61-8061-F37D9271F041}">
  <sheetPr codeName="Лист58">
    <tabColor rgb="FFFFFF00"/>
  </sheetPr>
  <dimension ref="A1:A144"/>
  <sheetViews>
    <sheetView topLeftCell="A97" workbookViewId="0">
      <selection activeCell="M136" sqref="M136"/>
    </sheetView>
  </sheetViews>
  <sheetFormatPr defaultRowHeight="15"/>
  <cols>
    <col min="1" max="16384" width="9.140625" style="6"/>
  </cols>
  <sheetData>
    <row r="1" spans="1:1">
      <c r="A1" s="3" t="s">
        <v>2759</v>
      </c>
    </row>
    <row r="2" spans="1:1">
      <c r="A2" s="3" t="s">
        <v>2760</v>
      </c>
    </row>
    <row r="3" spans="1:1">
      <c r="A3" s="5" t="s">
        <v>2761</v>
      </c>
    </row>
    <row r="4" spans="1:1">
      <c r="A4" s="5" t="s">
        <v>2762</v>
      </c>
    </row>
    <row r="5" spans="1:1">
      <c r="A5" s="5" t="s">
        <v>2763</v>
      </c>
    </row>
    <row r="6" spans="1:1">
      <c r="A6" s="5" t="s">
        <v>2764</v>
      </c>
    </row>
    <row r="7" spans="1:1">
      <c r="A7" s="5" t="s">
        <v>2765</v>
      </c>
    </row>
    <row r="8" spans="1:1">
      <c r="A8" s="5" t="s">
        <v>2766</v>
      </c>
    </row>
    <row r="9" spans="1:1">
      <c r="A9" s="5" t="s">
        <v>2767</v>
      </c>
    </row>
    <row r="10" spans="1:1">
      <c r="A10" s="5" t="s">
        <v>2768</v>
      </c>
    </row>
    <row r="11" spans="1:1">
      <c r="A11" s="5" t="s">
        <v>2769</v>
      </c>
    </row>
    <row r="12" spans="1:1">
      <c r="A12" s="5" t="s">
        <v>2770</v>
      </c>
    </row>
    <row r="13" spans="1:1">
      <c r="A13" s="5"/>
    </row>
    <row r="14" spans="1:1">
      <c r="A14" s="3" t="s">
        <v>2771</v>
      </c>
    </row>
    <row r="15" spans="1:1">
      <c r="A15" s="5" t="s">
        <v>2772</v>
      </c>
    </row>
    <row r="16" spans="1:1">
      <c r="A16" s="5" t="s">
        <v>2773</v>
      </c>
    </row>
    <row r="17" spans="1:1">
      <c r="A17" s="5" t="s">
        <v>2774</v>
      </c>
    </row>
    <row r="18" spans="1:1">
      <c r="A18" s="5" t="s">
        <v>2775</v>
      </c>
    </row>
    <row r="19" spans="1:1">
      <c r="A19" s="5" t="s">
        <v>2776</v>
      </c>
    </row>
    <row r="20" spans="1:1">
      <c r="A20" s="5" t="s">
        <v>2777</v>
      </c>
    </row>
    <row r="21" spans="1:1">
      <c r="A21" s="5" t="s">
        <v>2778</v>
      </c>
    </row>
    <row r="22" spans="1:1">
      <c r="A22" s="5" t="s">
        <v>2779</v>
      </c>
    </row>
    <row r="23" spans="1:1">
      <c r="A23" s="5" t="s">
        <v>2780</v>
      </c>
    </row>
    <row r="24" spans="1:1">
      <c r="A24" s="5" t="s">
        <v>2781</v>
      </c>
    </row>
    <row r="25" spans="1:1">
      <c r="A25" s="5"/>
    </row>
    <row r="26" spans="1:1">
      <c r="A26" s="3" t="s">
        <v>2782</v>
      </c>
    </row>
    <row r="27" spans="1:1">
      <c r="A27" s="5" t="s">
        <v>2783</v>
      </c>
    </row>
    <row r="28" spans="1:1">
      <c r="A28" s="5" t="s">
        <v>2784</v>
      </c>
    </row>
    <row r="29" spans="1:1">
      <c r="A29" s="5" t="s">
        <v>2785</v>
      </c>
    </row>
    <row r="30" spans="1:1">
      <c r="A30" s="5" t="s">
        <v>2786</v>
      </c>
    </row>
    <row r="31" spans="1:1">
      <c r="A31" s="5" t="s">
        <v>2787</v>
      </c>
    </row>
    <row r="32" spans="1:1">
      <c r="A32" s="5" t="s">
        <v>2788</v>
      </c>
    </row>
    <row r="33" spans="1:1">
      <c r="A33" s="5" t="s">
        <v>2789</v>
      </c>
    </row>
    <row r="34" spans="1:1">
      <c r="A34" s="5" t="s">
        <v>2790</v>
      </c>
    </row>
    <row r="35" spans="1:1">
      <c r="A35" s="5" t="s">
        <v>2791</v>
      </c>
    </row>
    <row r="36" spans="1:1">
      <c r="A36" s="5" t="s">
        <v>2792</v>
      </c>
    </row>
    <row r="37" spans="1:1">
      <c r="A37" s="5"/>
    </row>
    <row r="38" spans="1:1">
      <c r="A38" s="3" t="s">
        <v>2793</v>
      </c>
    </row>
    <row r="39" spans="1:1">
      <c r="A39" s="5" t="s">
        <v>2794</v>
      </c>
    </row>
    <row r="40" spans="1:1">
      <c r="A40" s="5" t="s">
        <v>2795</v>
      </c>
    </row>
    <row r="41" spans="1:1">
      <c r="A41" s="5" t="s">
        <v>2796</v>
      </c>
    </row>
    <row r="42" spans="1:1">
      <c r="A42" s="5" t="s">
        <v>2797</v>
      </c>
    </row>
    <row r="43" spans="1:1">
      <c r="A43" s="5" t="s">
        <v>2798</v>
      </c>
    </row>
    <row r="44" spans="1:1">
      <c r="A44" s="5" t="s">
        <v>2799</v>
      </c>
    </row>
    <row r="45" spans="1:1">
      <c r="A45" s="5" t="s">
        <v>2800</v>
      </c>
    </row>
    <row r="46" spans="1:1">
      <c r="A46" s="5" t="s">
        <v>2801</v>
      </c>
    </row>
    <row r="47" spans="1:1">
      <c r="A47" s="5" t="s">
        <v>2802</v>
      </c>
    </row>
    <row r="48" spans="1:1">
      <c r="A48" s="5" t="s">
        <v>2803</v>
      </c>
    </row>
    <row r="49" spans="1:1">
      <c r="A49" s="5"/>
    </row>
    <row r="50" spans="1:1">
      <c r="A50" s="3" t="s">
        <v>2804</v>
      </c>
    </row>
    <row r="51" spans="1:1">
      <c r="A51" s="5" t="s">
        <v>2805</v>
      </c>
    </row>
    <row r="52" spans="1:1">
      <c r="A52" s="5" t="s">
        <v>2806</v>
      </c>
    </row>
    <row r="53" spans="1:1">
      <c r="A53" s="5" t="s">
        <v>2807</v>
      </c>
    </row>
    <row r="54" spans="1:1">
      <c r="A54" s="5" t="s">
        <v>2808</v>
      </c>
    </row>
    <row r="55" spans="1:1">
      <c r="A55" s="5" t="s">
        <v>2809</v>
      </c>
    </row>
    <row r="56" spans="1:1">
      <c r="A56" s="5" t="s">
        <v>2810</v>
      </c>
    </row>
    <row r="57" spans="1:1">
      <c r="A57" s="5" t="s">
        <v>2811</v>
      </c>
    </row>
    <row r="58" spans="1:1">
      <c r="A58" s="5" t="s">
        <v>2812</v>
      </c>
    </row>
    <row r="59" spans="1:1">
      <c r="A59" s="5" t="s">
        <v>2813</v>
      </c>
    </row>
    <row r="60" spans="1:1">
      <c r="A60" s="5" t="s">
        <v>2814</v>
      </c>
    </row>
    <row r="61" spans="1:1">
      <c r="A61" s="5"/>
    </row>
    <row r="62" spans="1:1">
      <c r="A62" s="3" t="s">
        <v>2815</v>
      </c>
    </row>
    <row r="63" spans="1:1">
      <c r="A63" s="5" t="s">
        <v>2816</v>
      </c>
    </row>
    <row r="64" spans="1:1">
      <c r="A64" s="5" t="s">
        <v>2817</v>
      </c>
    </row>
    <row r="65" spans="1:1">
      <c r="A65" s="5" t="s">
        <v>2818</v>
      </c>
    </row>
    <row r="66" spans="1:1">
      <c r="A66" s="5" t="s">
        <v>2819</v>
      </c>
    </row>
    <row r="67" spans="1:1">
      <c r="A67" s="5" t="s">
        <v>2820</v>
      </c>
    </row>
    <row r="68" spans="1:1">
      <c r="A68" s="5" t="s">
        <v>2821</v>
      </c>
    </row>
    <row r="69" spans="1:1">
      <c r="A69" s="5" t="s">
        <v>2822</v>
      </c>
    </row>
    <row r="70" spans="1:1">
      <c r="A70" s="5" t="s">
        <v>2823</v>
      </c>
    </row>
    <row r="71" spans="1:1">
      <c r="A71" s="5" t="s">
        <v>2824</v>
      </c>
    </row>
    <row r="72" spans="1:1">
      <c r="A72" s="5" t="s">
        <v>2825</v>
      </c>
    </row>
    <row r="73" spans="1:1">
      <c r="A73" s="5"/>
    </row>
    <row r="74" spans="1:1">
      <c r="A74" s="3" t="s">
        <v>2826</v>
      </c>
    </row>
    <row r="75" spans="1:1">
      <c r="A75" s="5" t="s">
        <v>2827</v>
      </c>
    </row>
    <row r="76" spans="1:1">
      <c r="A76" s="5" t="s">
        <v>2828</v>
      </c>
    </row>
    <row r="77" spans="1:1">
      <c r="A77" s="5" t="s">
        <v>2829</v>
      </c>
    </row>
    <row r="78" spans="1:1">
      <c r="A78" s="5" t="s">
        <v>2830</v>
      </c>
    </row>
    <row r="79" spans="1:1">
      <c r="A79" s="5" t="s">
        <v>2831</v>
      </c>
    </row>
    <row r="80" spans="1:1">
      <c r="A80" s="5" t="s">
        <v>2832</v>
      </c>
    </row>
    <row r="81" spans="1:1">
      <c r="A81" s="5" t="s">
        <v>2833</v>
      </c>
    </row>
    <row r="82" spans="1:1">
      <c r="A82" s="5" t="s">
        <v>2834</v>
      </c>
    </row>
    <row r="83" spans="1:1">
      <c r="A83" s="5" t="s">
        <v>2835</v>
      </c>
    </row>
    <row r="84" spans="1:1">
      <c r="A84" s="5" t="s">
        <v>2836</v>
      </c>
    </row>
    <row r="85" spans="1:1">
      <c r="A85" s="5"/>
    </row>
    <row r="86" spans="1:1">
      <c r="A86" s="3" t="s">
        <v>2837</v>
      </c>
    </row>
    <row r="87" spans="1:1">
      <c r="A87" s="5" t="s">
        <v>2838</v>
      </c>
    </row>
    <row r="88" spans="1:1">
      <c r="A88" s="5" t="s">
        <v>2839</v>
      </c>
    </row>
    <row r="89" spans="1:1">
      <c r="A89" s="5" t="s">
        <v>2840</v>
      </c>
    </row>
    <row r="90" spans="1:1">
      <c r="A90" s="5" t="s">
        <v>2841</v>
      </c>
    </row>
    <row r="91" spans="1:1">
      <c r="A91" s="5" t="s">
        <v>2842</v>
      </c>
    </row>
    <row r="92" spans="1:1">
      <c r="A92" s="5" t="s">
        <v>2843</v>
      </c>
    </row>
    <row r="93" spans="1:1">
      <c r="A93" s="5" t="s">
        <v>2844</v>
      </c>
    </row>
    <row r="94" spans="1:1">
      <c r="A94" s="5" t="s">
        <v>2845</v>
      </c>
    </row>
    <row r="95" spans="1:1">
      <c r="A95" s="5" t="s">
        <v>2846</v>
      </c>
    </row>
    <row r="96" spans="1:1">
      <c r="A96" s="5" t="s">
        <v>2847</v>
      </c>
    </row>
    <row r="97" spans="1:1">
      <c r="A97" s="5"/>
    </row>
    <row r="98" spans="1:1">
      <c r="A98" s="3" t="s">
        <v>2848</v>
      </c>
    </row>
    <row r="99" spans="1:1">
      <c r="A99" s="5" t="s">
        <v>2849</v>
      </c>
    </row>
    <row r="100" spans="1:1">
      <c r="A100" s="5" t="s">
        <v>2850</v>
      </c>
    </row>
    <row r="101" spans="1:1">
      <c r="A101" s="5" t="s">
        <v>2851</v>
      </c>
    </row>
    <row r="102" spans="1:1">
      <c r="A102" s="5" t="s">
        <v>2852</v>
      </c>
    </row>
    <row r="103" spans="1:1">
      <c r="A103" s="5" t="s">
        <v>2853</v>
      </c>
    </row>
    <row r="104" spans="1:1">
      <c r="A104" s="5" t="s">
        <v>2854</v>
      </c>
    </row>
    <row r="105" spans="1:1">
      <c r="A105" s="5" t="s">
        <v>2855</v>
      </c>
    </row>
    <row r="106" spans="1:1">
      <c r="A106" s="5" t="s">
        <v>2856</v>
      </c>
    </row>
    <row r="107" spans="1:1">
      <c r="A107" s="5" t="s">
        <v>2857</v>
      </c>
    </row>
    <row r="108" spans="1:1">
      <c r="A108" s="5" t="s">
        <v>2858</v>
      </c>
    </row>
    <row r="109" spans="1:1">
      <c r="A109" s="5"/>
    </row>
    <row r="110" spans="1:1">
      <c r="A110" s="3" t="s">
        <v>2859</v>
      </c>
    </row>
    <row r="111" spans="1:1">
      <c r="A111" s="5" t="s">
        <v>2860</v>
      </c>
    </row>
    <row r="112" spans="1:1">
      <c r="A112" s="5" t="s">
        <v>2861</v>
      </c>
    </row>
    <row r="113" spans="1:1">
      <c r="A113" s="5" t="s">
        <v>2862</v>
      </c>
    </row>
    <row r="114" spans="1:1">
      <c r="A114" s="5" t="s">
        <v>2863</v>
      </c>
    </row>
    <row r="115" spans="1:1">
      <c r="A115" s="5" t="s">
        <v>2864</v>
      </c>
    </row>
    <row r="116" spans="1:1">
      <c r="A116" s="5" t="s">
        <v>2865</v>
      </c>
    </row>
    <row r="117" spans="1:1">
      <c r="A117" s="5" t="s">
        <v>2866</v>
      </c>
    </row>
    <row r="118" spans="1:1">
      <c r="A118" s="5" t="s">
        <v>2867</v>
      </c>
    </row>
    <row r="119" spans="1:1">
      <c r="A119" s="5" t="s">
        <v>2868</v>
      </c>
    </row>
    <row r="120" spans="1:1">
      <c r="A120" s="5" t="s">
        <v>2869</v>
      </c>
    </row>
    <row r="121" spans="1:1">
      <c r="A121" s="5"/>
    </row>
    <row r="122" spans="1:1">
      <c r="A122" s="3" t="s">
        <v>2870</v>
      </c>
    </row>
    <row r="123" spans="1:1">
      <c r="A123" s="5" t="s">
        <v>2871</v>
      </c>
    </row>
    <row r="124" spans="1:1">
      <c r="A124" s="5" t="s">
        <v>2872</v>
      </c>
    </row>
    <row r="125" spans="1:1">
      <c r="A125" s="5" t="s">
        <v>2873</v>
      </c>
    </row>
    <row r="126" spans="1:1">
      <c r="A126" s="5" t="s">
        <v>2874</v>
      </c>
    </row>
    <row r="127" spans="1:1">
      <c r="A127" s="5" t="s">
        <v>2875</v>
      </c>
    </row>
    <row r="128" spans="1:1">
      <c r="A128" s="5" t="s">
        <v>2876</v>
      </c>
    </row>
    <row r="129" spans="1:1">
      <c r="A129" s="5" t="s">
        <v>2877</v>
      </c>
    </row>
    <row r="130" spans="1:1">
      <c r="A130" s="5" t="s">
        <v>2878</v>
      </c>
    </row>
    <row r="131" spans="1:1">
      <c r="A131" s="5" t="s">
        <v>2879</v>
      </c>
    </row>
    <row r="132" spans="1:1">
      <c r="A132" s="5" t="s">
        <v>2880</v>
      </c>
    </row>
    <row r="133" spans="1:1">
      <c r="A133" s="5"/>
    </row>
    <row r="134" spans="1:1">
      <c r="A134" s="3" t="s">
        <v>2881</v>
      </c>
    </row>
    <row r="135" spans="1:1">
      <c r="A135" s="5" t="s">
        <v>2882</v>
      </c>
    </row>
    <row r="136" spans="1:1">
      <c r="A136" s="5" t="s">
        <v>2883</v>
      </c>
    </row>
    <row r="137" spans="1:1">
      <c r="A137" s="5" t="s">
        <v>2884</v>
      </c>
    </row>
    <row r="138" spans="1:1">
      <c r="A138" s="5" t="s">
        <v>2885</v>
      </c>
    </row>
    <row r="139" spans="1:1">
      <c r="A139" s="5" t="s">
        <v>2886</v>
      </c>
    </row>
    <row r="140" spans="1:1">
      <c r="A140" s="5" t="s">
        <v>2887</v>
      </c>
    </row>
    <row r="141" spans="1:1">
      <c r="A141" s="5" t="s">
        <v>2888</v>
      </c>
    </row>
    <row r="142" spans="1:1">
      <c r="A142" s="5" t="s">
        <v>2889</v>
      </c>
    </row>
    <row r="143" spans="1:1">
      <c r="A143" s="5" t="s">
        <v>2890</v>
      </c>
    </row>
    <row r="144" spans="1:1">
      <c r="A144" s="5" t="s">
        <v>2891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5AB6-3EAE-4F70-9131-F4F25E05C061}">
  <sheetPr codeName="Лист59">
    <tabColor rgb="FFFFFF00"/>
  </sheetPr>
  <dimension ref="A1:I36"/>
  <sheetViews>
    <sheetView workbookViewId="0">
      <selection activeCell="I24" sqref="I24:I34"/>
    </sheetView>
  </sheetViews>
  <sheetFormatPr defaultRowHeight="15"/>
  <cols>
    <col min="1" max="16384" width="9.140625" style="6"/>
  </cols>
  <sheetData>
    <row r="1" spans="1:1" ht="18.75">
      <c r="A1" s="4" t="s">
        <v>2407</v>
      </c>
    </row>
    <row r="2" spans="1:1">
      <c r="A2" s="3" t="s">
        <v>2408</v>
      </c>
    </row>
    <row r="3" spans="1:1">
      <c r="A3" s="5" t="s">
        <v>2409</v>
      </c>
    </row>
    <row r="4" spans="1:1">
      <c r="A4" s="5" t="s">
        <v>2410</v>
      </c>
    </row>
    <row r="5" spans="1:1">
      <c r="A5" s="5" t="s">
        <v>2411</v>
      </c>
    </row>
    <row r="6" spans="1:1">
      <c r="A6" s="5" t="s">
        <v>2412</v>
      </c>
    </row>
    <row r="7" spans="1:1">
      <c r="A7" s="5" t="s">
        <v>2413</v>
      </c>
    </row>
    <row r="8" spans="1:1">
      <c r="A8" s="5" t="s">
        <v>2414</v>
      </c>
    </row>
    <row r="9" spans="1:1">
      <c r="A9" s="5" t="s">
        <v>2415</v>
      </c>
    </row>
    <row r="10" spans="1:1">
      <c r="A10" s="5" t="s">
        <v>2416</v>
      </c>
    </row>
    <row r="11" spans="1:1">
      <c r="A11" s="5" t="s">
        <v>2417</v>
      </c>
    </row>
    <row r="12" spans="1:1">
      <c r="A12" s="5" t="s">
        <v>2418</v>
      </c>
    </row>
    <row r="13" spans="1:1">
      <c r="A13" s="5" t="s">
        <v>2419</v>
      </c>
    </row>
    <row r="14" spans="1:1">
      <c r="A14" s="5" t="s">
        <v>2420</v>
      </c>
    </row>
    <row r="15" spans="1:1">
      <c r="A15" s="5" t="s">
        <v>2421</v>
      </c>
    </row>
    <row r="16" spans="1:1">
      <c r="A16" s="5" t="s">
        <v>2422</v>
      </c>
    </row>
    <row r="17" spans="1:9">
      <c r="A17" s="5" t="s">
        <v>2423</v>
      </c>
    </row>
    <row r="18" spans="1:9">
      <c r="A18" s="5" t="s">
        <v>2424</v>
      </c>
    </row>
    <row r="19" spans="1:9">
      <c r="A19" s="5" t="s">
        <v>2425</v>
      </c>
    </row>
    <row r="20" spans="1:9">
      <c r="A20" s="5" t="s">
        <v>2426</v>
      </c>
    </row>
    <row r="21" spans="1:9">
      <c r="A21" s="5" t="s">
        <v>2427</v>
      </c>
    </row>
    <row r="22" spans="1:9">
      <c r="A22" s="5" t="s">
        <v>2428</v>
      </c>
    </row>
    <row r="23" spans="1:9">
      <c r="A23" s="5"/>
    </row>
    <row r="24" spans="1:9">
      <c r="A24" s="3" t="s">
        <v>2429</v>
      </c>
      <c r="E24" s="3" t="s">
        <v>2440</v>
      </c>
      <c r="I24" s="3" t="s">
        <v>2453</v>
      </c>
    </row>
    <row r="25" spans="1:9">
      <c r="A25" s="5" t="s">
        <v>2430</v>
      </c>
      <c r="E25" s="5" t="s">
        <v>2441</v>
      </c>
      <c r="I25" s="5" t="s">
        <v>2454</v>
      </c>
    </row>
    <row r="26" spans="1:9">
      <c r="A26" s="5" t="s">
        <v>2431</v>
      </c>
      <c r="E26" s="5" t="s">
        <v>2442</v>
      </c>
      <c r="I26" s="5" t="s">
        <v>2455</v>
      </c>
    </row>
    <row r="27" spans="1:9">
      <c r="A27" s="5" t="s">
        <v>2432</v>
      </c>
      <c r="E27" s="5" t="s">
        <v>2443</v>
      </c>
      <c r="I27" s="5" t="s">
        <v>2456</v>
      </c>
    </row>
    <row r="28" spans="1:9">
      <c r="A28" s="5" t="s">
        <v>2433</v>
      </c>
      <c r="E28" s="5" t="s">
        <v>2444</v>
      </c>
      <c r="I28" s="5" t="s">
        <v>2457</v>
      </c>
    </row>
    <row r="29" spans="1:9">
      <c r="A29" s="5" t="s">
        <v>2434</v>
      </c>
      <c r="E29" s="5" t="s">
        <v>2445</v>
      </c>
      <c r="I29" s="5" t="s">
        <v>2458</v>
      </c>
    </row>
    <row r="30" spans="1:9">
      <c r="A30" s="5" t="s">
        <v>2435</v>
      </c>
      <c r="E30" s="5" t="s">
        <v>2446</v>
      </c>
      <c r="I30" s="5" t="s">
        <v>2459</v>
      </c>
    </row>
    <row r="31" spans="1:9">
      <c r="A31" s="5" t="s">
        <v>2436</v>
      </c>
      <c r="E31" s="5" t="s">
        <v>2447</v>
      </c>
      <c r="I31" s="5" t="s">
        <v>2460</v>
      </c>
    </row>
    <row r="32" spans="1:9">
      <c r="A32" s="5" t="s">
        <v>2437</v>
      </c>
      <c r="E32" s="5" t="s">
        <v>2448</v>
      </c>
      <c r="I32" s="5" t="s">
        <v>2461</v>
      </c>
    </row>
    <row r="33" spans="1:9">
      <c r="A33" s="5" t="s">
        <v>2438</v>
      </c>
      <c r="E33" s="5" t="s">
        <v>2449</v>
      </c>
      <c r="I33" s="5" t="s">
        <v>2462</v>
      </c>
    </row>
    <row r="34" spans="1:9">
      <c r="A34" s="5" t="s">
        <v>2439</v>
      </c>
      <c r="E34" s="5" t="s">
        <v>2450</v>
      </c>
      <c r="I34" s="5" t="s">
        <v>2463</v>
      </c>
    </row>
    <row r="35" spans="1:9">
      <c r="E35" s="5" t="s">
        <v>2451</v>
      </c>
    </row>
    <row r="36" spans="1:9">
      <c r="E36" s="5" t="s">
        <v>2452</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05737-1246-4DF9-A1BB-9A12E7344088}">
  <sheetPr codeName="Лист60">
    <tabColor theme="1"/>
  </sheetPr>
  <dimension ref="A1"/>
  <sheetViews>
    <sheetView workbookViewId="0">
      <selection activeCell="G34" sqref="G34"/>
    </sheetView>
  </sheetViews>
  <sheetFormatPr defaultRowHeight="15"/>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623D9-16F1-4F33-8BC5-AC15B8017FBA}">
  <sheetPr codeName="Лист1">
    <tabColor rgb="FFFFFF00"/>
  </sheetPr>
  <dimension ref="A1:C91"/>
  <sheetViews>
    <sheetView topLeftCell="A79" workbookViewId="0">
      <selection activeCell="M108" sqref="M108"/>
    </sheetView>
  </sheetViews>
  <sheetFormatPr defaultRowHeight="15"/>
  <cols>
    <col min="1" max="1" width="4.7109375" style="6" customWidth="1"/>
    <col min="2" max="2" width="72.85546875" style="6" customWidth="1"/>
    <col min="3" max="16384" width="9.140625" style="6"/>
  </cols>
  <sheetData>
    <row r="1" spans="1:3" ht="18.75">
      <c r="A1" s="4" t="s">
        <v>6058</v>
      </c>
    </row>
    <row r="2" spans="1:3">
      <c r="A2" s="3" t="s">
        <v>6059</v>
      </c>
    </row>
    <row r="3" spans="1:3">
      <c r="A3" s="5">
        <v>1</v>
      </c>
      <c r="B3" s="6" t="s">
        <v>6601</v>
      </c>
      <c r="C3" s="6" t="s">
        <v>6760</v>
      </c>
    </row>
    <row r="4" spans="1:3">
      <c r="A4" s="5">
        <v>2</v>
      </c>
      <c r="B4" s="6" t="s">
        <v>6602</v>
      </c>
      <c r="C4" s="6" t="s">
        <v>6681</v>
      </c>
    </row>
    <row r="5" spans="1:3">
      <c r="A5" s="5">
        <v>3</v>
      </c>
      <c r="B5" s="6" t="s">
        <v>6603</v>
      </c>
      <c r="C5" s="6" t="s">
        <v>6682</v>
      </c>
    </row>
    <row r="6" spans="1:3">
      <c r="A6" s="5">
        <v>4</v>
      </c>
      <c r="B6" s="6" t="s">
        <v>6604</v>
      </c>
      <c r="C6" s="6" t="s">
        <v>6683</v>
      </c>
    </row>
    <row r="7" spans="1:3">
      <c r="A7" s="5">
        <v>5</v>
      </c>
      <c r="B7" s="6" t="s">
        <v>6605</v>
      </c>
      <c r="C7" s="6" t="s">
        <v>6758</v>
      </c>
    </row>
    <row r="8" spans="1:3">
      <c r="A8" s="5">
        <v>6</v>
      </c>
      <c r="B8" s="6" t="s">
        <v>6606</v>
      </c>
      <c r="C8" s="6" t="s">
        <v>6759</v>
      </c>
    </row>
    <row r="9" spans="1:3">
      <c r="A9" s="5">
        <v>7</v>
      </c>
      <c r="B9" s="6" t="s">
        <v>6607</v>
      </c>
      <c r="C9" s="6" t="s">
        <v>6684</v>
      </c>
    </row>
    <row r="10" spans="1:3">
      <c r="A10" s="5">
        <v>8</v>
      </c>
      <c r="B10" s="6" t="s">
        <v>6608</v>
      </c>
      <c r="C10" s="6" t="s">
        <v>6685</v>
      </c>
    </row>
    <row r="11" spans="1:3">
      <c r="A11" s="5">
        <v>9</v>
      </c>
      <c r="B11" s="6" t="s">
        <v>6609</v>
      </c>
      <c r="C11" s="6" t="s">
        <v>6686</v>
      </c>
    </row>
    <row r="12" spans="1:3">
      <c r="A12" s="5">
        <v>10</v>
      </c>
      <c r="B12" s="6" t="s">
        <v>6610</v>
      </c>
      <c r="C12" s="6" t="s">
        <v>6687</v>
      </c>
    </row>
    <row r="13" spans="1:3">
      <c r="A13" s="3" t="s">
        <v>6060</v>
      </c>
    </row>
    <row r="14" spans="1:3">
      <c r="A14" s="5">
        <v>1</v>
      </c>
      <c r="B14" s="6" t="s">
        <v>6611</v>
      </c>
      <c r="C14" s="6" t="s">
        <v>6688</v>
      </c>
    </row>
    <row r="15" spans="1:3">
      <c r="A15" s="5">
        <v>2</v>
      </c>
      <c r="B15" s="6" t="s">
        <v>6612</v>
      </c>
      <c r="C15" s="6" t="s">
        <v>6689</v>
      </c>
    </row>
    <row r="16" spans="1:3">
      <c r="A16" s="5">
        <v>3</v>
      </c>
      <c r="B16" s="6" t="s">
        <v>6613</v>
      </c>
      <c r="C16" s="6" t="s">
        <v>6690</v>
      </c>
    </row>
    <row r="17" spans="1:3">
      <c r="A17" s="5">
        <v>4</v>
      </c>
      <c r="B17" s="6" t="s">
        <v>6614</v>
      </c>
      <c r="C17" s="6" t="s">
        <v>6691</v>
      </c>
    </row>
    <row r="18" spans="1:3">
      <c r="A18" s="5">
        <v>5</v>
      </c>
      <c r="B18" s="6" t="s">
        <v>6615</v>
      </c>
      <c r="C18" s="6" t="s">
        <v>6692</v>
      </c>
    </row>
    <row r="19" spans="1:3">
      <c r="A19" s="5">
        <v>6</v>
      </c>
      <c r="B19" s="6" t="s">
        <v>6616</v>
      </c>
      <c r="C19" s="6" t="s">
        <v>6693</v>
      </c>
    </row>
    <row r="20" spans="1:3">
      <c r="A20" s="5">
        <v>7</v>
      </c>
      <c r="B20" s="6" t="s">
        <v>6617</v>
      </c>
      <c r="C20" s="6" t="s">
        <v>6694</v>
      </c>
    </row>
    <row r="21" spans="1:3">
      <c r="A21" s="5">
        <v>8</v>
      </c>
      <c r="B21" s="6" t="s">
        <v>6618</v>
      </c>
      <c r="C21" s="6" t="s">
        <v>6695</v>
      </c>
    </row>
    <row r="22" spans="1:3">
      <c r="A22" s="5">
        <v>9</v>
      </c>
      <c r="B22" s="6" t="s">
        <v>6619</v>
      </c>
      <c r="C22" s="6" t="s">
        <v>6696</v>
      </c>
    </row>
    <row r="23" spans="1:3">
      <c r="A23" s="5">
        <v>10</v>
      </c>
      <c r="B23" s="6" t="s">
        <v>6620</v>
      </c>
      <c r="C23" s="6" t="s">
        <v>6697</v>
      </c>
    </row>
    <row r="24" spans="1:3">
      <c r="A24" s="3" t="s">
        <v>6061</v>
      </c>
    </row>
    <row r="25" spans="1:3">
      <c r="A25" s="5">
        <v>1</v>
      </c>
      <c r="B25" s="6" t="s">
        <v>6622</v>
      </c>
      <c r="C25" s="6" t="s">
        <v>6698</v>
      </c>
    </row>
    <row r="26" spans="1:3">
      <c r="A26" s="5">
        <v>2</v>
      </c>
      <c r="B26" s="6" t="s">
        <v>6623</v>
      </c>
      <c r="C26" s="6" t="s">
        <v>6699</v>
      </c>
    </row>
    <row r="27" spans="1:3">
      <c r="A27" s="5">
        <v>3</v>
      </c>
      <c r="B27" s="6" t="s">
        <v>6624</v>
      </c>
      <c r="C27" s="6" t="s">
        <v>6700</v>
      </c>
    </row>
    <row r="28" spans="1:3">
      <c r="A28" s="5">
        <v>4</v>
      </c>
      <c r="B28" s="6" t="s">
        <v>6625</v>
      </c>
      <c r="C28" s="6" t="s">
        <v>6701</v>
      </c>
    </row>
    <row r="29" spans="1:3">
      <c r="A29" s="5">
        <v>5</v>
      </c>
      <c r="B29" s="6" t="s">
        <v>6626</v>
      </c>
      <c r="C29" s="6" t="s">
        <v>6702</v>
      </c>
    </row>
    <row r="30" spans="1:3">
      <c r="A30" s="5">
        <v>6</v>
      </c>
      <c r="B30" s="6" t="s">
        <v>6627</v>
      </c>
      <c r="C30" s="6" t="s">
        <v>6703</v>
      </c>
    </row>
    <row r="31" spans="1:3">
      <c r="A31" s="5">
        <v>7</v>
      </c>
      <c r="B31" s="6" t="s">
        <v>6628</v>
      </c>
      <c r="C31" s="6" t="s">
        <v>6704</v>
      </c>
    </row>
    <row r="32" spans="1:3">
      <c r="A32" s="5">
        <v>8</v>
      </c>
      <c r="B32" s="6" t="s">
        <v>6629</v>
      </c>
      <c r="C32" s="6" t="s">
        <v>6705</v>
      </c>
    </row>
    <row r="33" spans="1:3">
      <c r="A33" s="5">
        <v>9</v>
      </c>
      <c r="B33" s="6" t="s">
        <v>6630</v>
      </c>
      <c r="C33" s="6" t="s">
        <v>6706</v>
      </c>
    </row>
    <row r="34" spans="1:3">
      <c r="A34" s="5">
        <v>10</v>
      </c>
      <c r="B34" s="6" t="s">
        <v>6631</v>
      </c>
      <c r="C34" s="6" t="s">
        <v>6707</v>
      </c>
    </row>
    <row r="36" spans="1:3">
      <c r="A36" s="3" t="s">
        <v>6062</v>
      </c>
    </row>
    <row r="37" spans="1:3">
      <c r="A37" s="5">
        <v>1</v>
      </c>
      <c r="B37" s="6" t="s">
        <v>6632</v>
      </c>
      <c r="C37" s="6" t="s">
        <v>6708</v>
      </c>
    </row>
    <row r="38" spans="1:3">
      <c r="A38" s="5">
        <v>2</v>
      </c>
      <c r="B38" s="6" t="s">
        <v>6633</v>
      </c>
      <c r="C38" s="6" t="s">
        <v>6709</v>
      </c>
    </row>
    <row r="39" spans="1:3">
      <c r="A39" s="5">
        <v>3</v>
      </c>
      <c r="B39" s="6" t="s">
        <v>6634</v>
      </c>
      <c r="C39" s="6" t="s">
        <v>6710</v>
      </c>
    </row>
    <row r="40" spans="1:3">
      <c r="A40" s="5">
        <v>4</v>
      </c>
      <c r="B40" s="6" t="s">
        <v>6635</v>
      </c>
      <c r="C40" s="6" t="s">
        <v>6711</v>
      </c>
    </row>
    <row r="41" spans="1:3">
      <c r="A41" s="5">
        <v>5</v>
      </c>
      <c r="B41" s="6" t="s">
        <v>6636</v>
      </c>
      <c r="C41" s="6" t="s">
        <v>6712</v>
      </c>
    </row>
    <row r="42" spans="1:3">
      <c r="A42" s="5">
        <v>6</v>
      </c>
      <c r="B42" s="6" t="s">
        <v>6637</v>
      </c>
      <c r="C42" s="6" t="s">
        <v>6713</v>
      </c>
    </row>
    <row r="43" spans="1:3">
      <c r="A43" s="5">
        <v>7</v>
      </c>
      <c r="B43" s="6" t="s">
        <v>6638</v>
      </c>
      <c r="C43" s="6" t="s">
        <v>6714</v>
      </c>
    </row>
    <row r="44" spans="1:3">
      <c r="A44" s="5">
        <v>8</v>
      </c>
      <c r="B44" s="6" t="s">
        <v>6639</v>
      </c>
      <c r="C44" s="6" t="s">
        <v>6715</v>
      </c>
    </row>
    <row r="45" spans="1:3">
      <c r="A45" s="5">
        <v>9</v>
      </c>
      <c r="B45" s="6" t="s">
        <v>6640</v>
      </c>
      <c r="C45" s="6" t="s">
        <v>6716</v>
      </c>
    </row>
    <row r="46" spans="1:3">
      <c r="A46" s="5">
        <v>10</v>
      </c>
      <c r="B46" s="6" t="s">
        <v>6641</v>
      </c>
      <c r="C46" s="6" t="s">
        <v>6717</v>
      </c>
    </row>
    <row r="47" spans="1:3">
      <c r="A47" s="3" t="s">
        <v>6063</v>
      </c>
    </row>
    <row r="48" spans="1:3">
      <c r="A48" s="5">
        <v>1</v>
      </c>
      <c r="B48" s="6" t="s">
        <v>6642</v>
      </c>
      <c r="C48" s="6" t="s">
        <v>6718</v>
      </c>
    </row>
    <row r="49" spans="1:3">
      <c r="A49" s="5">
        <v>2</v>
      </c>
      <c r="B49" s="6" t="s">
        <v>6643</v>
      </c>
      <c r="C49" s="6" t="s">
        <v>6719</v>
      </c>
    </row>
    <row r="50" spans="1:3">
      <c r="A50" s="5">
        <v>3</v>
      </c>
      <c r="B50" s="6" t="s">
        <v>6644</v>
      </c>
      <c r="C50" s="6" t="s">
        <v>6720</v>
      </c>
    </row>
    <row r="51" spans="1:3">
      <c r="A51" s="5">
        <v>4</v>
      </c>
      <c r="B51" s="6" t="s">
        <v>6645</v>
      </c>
      <c r="C51" s="6" t="s">
        <v>6721</v>
      </c>
    </row>
    <row r="52" spans="1:3">
      <c r="A52" s="5">
        <v>5</v>
      </c>
      <c r="B52" s="6" t="s">
        <v>6646</v>
      </c>
      <c r="C52" s="6" t="s">
        <v>6722</v>
      </c>
    </row>
    <row r="53" spans="1:3">
      <c r="A53" s="5">
        <v>6</v>
      </c>
      <c r="B53" s="6" t="s">
        <v>6647</v>
      </c>
      <c r="C53" s="6" t="s">
        <v>6723</v>
      </c>
    </row>
    <row r="54" spans="1:3">
      <c r="A54" s="5">
        <v>7</v>
      </c>
      <c r="B54" s="6" t="s">
        <v>6648</v>
      </c>
      <c r="C54" s="6" t="s">
        <v>6724</v>
      </c>
    </row>
    <row r="55" spans="1:3">
      <c r="A55" s="5">
        <v>8</v>
      </c>
      <c r="B55" s="6" t="s">
        <v>6649</v>
      </c>
      <c r="C55" s="6" t="s">
        <v>6725</v>
      </c>
    </row>
    <row r="56" spans="1:3">
      <c r="A56" s="5">
        <v>9</v>
      </c>
      <c r="B56" s="6" t="s">
        <v>6650</v>
      </c>
      <c r="C56" s="6" t="s">
        <v>6726</v>
      </c>
    </row>
    <row r="57" spans="1:3">
      <c r="A57" s="5">
        <v>10</v>
      </c>
      <c r="B57" s="6" t="s">
        <v>6621</v>
      </c>
      <c r="C57" s="6" t="s">
        <v>6727</v>
      </c>
    </row>
    <row r="58" spans="1:3">
      <c r="A58" s="3" t="s">
        <v>6064</v>
      </c>
    </row>
    <row r="59" spans="1:3">
      <c r="A59" s="5">
        <v>1</v>
      </c>
      <c r="B59" s="6" t="s">
        <v>6651</v>
      </c>
      <c r="C59" s="6" t="s">
        <v>6728</v>
      </c>
    </row>
    <row r="60" spans="1:3">
      <c r="A60" s="5">
        <v>2</v>
      </c>
      <c r="B60" s="6" t="s">
        <v>6652</v>
      </c>
      <c r="C60" s="6" t="s">
        <v>6729</v>
      </c>
    </row>
    <row r="61" spans="1:3">
      <c r="A61" s="5">
        <v>3</v>
      </c>
      <c r="B61" s="6" t="s">
        <v>6653</v>
      </c>
      <c r="C61" s="6" t="s">
        <v>6730</v>
      </c>
    </row>
    <row r="62" spans="1:3">
      <c r="A62" s="5">
        <v>4</v>
      </c>
      <c r="B62" s="6" t="s">
        <v>6654</v>
      </c>
      <c r="C62" s="6" t="s">
        <v>6731</v>
      </c>
    </row>
    <row r="63" spans="1:3">
      <c r="A63" s="5">
        <v>5</v>
      </c>
      <c r="B63" s="6" t="s">
        <v>6655</v>
      </c>
      <c r="C63" s="6" t="s">
        <v>6732</v>
      </c>
    </row>
    <row r="64" spans="1:3">
      <c r="A64" s="5">
        <v>6</v>
      </c>
      <c r="B64" s="6" t="s">
        <v>6656</v>
      </c>
      <c r="C64" s="6" t="s">
        <v>6733</v>
      </c>
    </row>
    <row r="65" spans="1:3">
      <c r="A65" s="5">
        <v>7</v>
      </c>
      <c r="B65" s="6" t="s">
        <v>6657</v>
      </c>
      <c r="C65" s="6" t="s">
        <v>6734</v>
      </c>
    </row>
    <row r="66" spans="1:3">
      <c r="A66" s="5">
        <v>8</v>
      </c>
      <c r="B66" s="6" t="s">
        <v>6658</v>
      </c>
      <c r="C66" s="6" t="s">
        <v>6735</v>
      </c>
    </row>
    <row r="67" spans="1:3">
      <c r="A67" s="5">
        <v>9</v>
      </c>
      <c r="B67" s="6" t="s">
        <v>6659</v>
      </c>
      <c r="C67" s="6" t="s">
        <v>6736</v>
      </c>
    </row>
    <row r="68" spans="1:3">
      <c r="A68" s="5">
        <v>10</v>
      </c>
      <c r="B68" s="6" t="s">
        <v>6660</v>
      </c>
      <c r="C68" s="6" t="s">
        <v>6737</v>
      </c>
    </row>
    <row r="70" spans="1:3">
      <c r="A70" s="3" t="s">
        <v>6065</v>
      </c>
    </row>
    <row r="71" spans="1:3">
      <c r="A71" s="5">
        <v>1</v>
      </c>
      <c r="B71" s="6" t="s">
        <v>6661</v>
      </c>
      <c r="C71" s="6" t="s">
        <v>6738</v>
      </c>
    </row>
    <row r="72" spans="1:3">
      <c r="A72" s="5">
        <v>2</v>
      </c>
      <c r="B72" s="6" t="s">
        <v>6662</v>
      </c>
      <c r="C72" s="6" t="s">
        <v>6739</v>
      </c>
    </row>
    <row r="73" spans="1:3">
      <c r="A73" s="5">
        <v>3</v>
      </c>
      <c r="B73" s="6" t="s">
        <v>6663</v>
      </c>
      <c r="C73" s="6" t="s">
        <v>6740</v>
      </c>
    </row>
    <row r="74" spans="1:3">
      <c r="A74" s="5">
        <v>4</v>
      </c>
      <c r="B74" s="6" t="s">
        <v>6664</v>
      </c>
      <c r="C74" s="6" t="s">
        <v>6741</v>
      </c>
    </row>
    <row r="75" spans="1:3">
      <c r="A75" s="5">
        <v>5</v>
      </c>
      <c r="B75" s="6" t="s">
        <v>6665</v>
      </c>
      <c r="C75" s="6" t="s">
        <v>6742</v>
      </c>
    </row>
    <row r="76" spans="1:3">
      <c r="A76" s="5">
        <v>6</v>
      </c>
      <c r="B76" s="6" t="s">
        <v>6666</v>
      </c>
      <c r="C76" s="6" t="s">
        <v>6743</v>
      </c>
    </row>
    <row r="77" spans="1:3">
      <c r="A77" s="5">
        <v>7</v>
      </c>
      <c r="B77" s="6" t="s">
        <v>6667</v>
      </c>
      <c r="C77" s="6" t="s">
        <v>6744</v>
      </c>
    </row>
    <row r="78" spans="1:3">
      <c r="A78" s="5">
        <v>8</v>
      </c>
      <c r="B78" s="6" t="s">
        <v>6668</v>
      </c>
      <c r="C78" s="6" t="s">
        <v>6745</v>
      </c>
    </row>
    <row r="79" spans="1:3">
      <c r="A79" s="5">
        <v>9</v>
      </c>
      <c r="B79" s="6" t="s">
        <v>6669</v>
      </c>
      <c r="C79" s="6" t="s">
        <v>6746</v>
      </c>
    </row>
    <row r="80" spans="1:3">
      <c r="A80" s="5">
        <v>10</v>
      </c>
      <c r="B80" s="6" t="s">
        <v>6670</v>
      </c>
      <c r="C80" s="6" t="s">
        <v>6747</v>
      </c>
    </row>
    <row r="81" spans="1:3">
      <c r="A81" s="3" t="s">
        <v>6066</v>
      </c>
    </row>
    <row r="82" spans="1:3">
      <c r="A82" s="5">
        <v>1</v>
      </c>
      <c r="B82" s="6" t="s">
        <v>6671</v>
      </c>
      <c r="C82" s="6" t="s">
        <v>6748</v>
      </c>
    </row>
    <row r="83" spans="1:3">
      <c r="A83" s="5">
        <v>2</v>
      </c>
      <c r="B83" s="6" t="s">
        <v>6672</v>
      </c>
      <c r="C83" s="6" t="s">
        <v>6749</v>
      </c>
    </row>
    <row r="84" spans="1:3">
      <c r="A84" s="5">
        <v>3</v>
      </c>
      <c r="B84" s="6" t="s">
        <v>6673</v>
      </c>
      <c r="C84" s="6" t="s">
        <v>6750</v>
      </c>
    </row>
    <row r="85" spans="1:3">
      <c r="A85" s="5">
        <v>4</v>
      </c>
      <c r="B85" s="6" t="s">
        <v>6674</v>
      </c>
      <c r="C85" s="6" t="s">
        <v>6751</v>
      </c>
    </row>
    <row r="86" spans="1:3">
      <c r="A86" s="5">
        <v>5</v>
      </c>
      <c r="B86" s="6" t="s">
        <v>6675</v>
      </c>
      <c r="C86" s="6" t="s">
        <v>6752</v>
      </c>
    </row>
    <row r="87" spans="1:3">
      <c r="A87" s="5">
        <v>6</v>
      </c>
      <c r="B87" s="6" t="s">
        <v>6676</v>
      </c>
      <c r="C87" s="6" t="s">
        <v>6753</v>
      </c>
    </row>
    <row r="88" spans="1:3">
      <c r="A88" s="5">
        <v>7</v>
      </c>
      <c r="B88" s="6" t="s">
        <v>6677</v>
      </c>
      <c r="C88" s="6" t="s">
        <v>6754</v>
      </c>
    </row>
    <row r="89" spans="1:3">
      <c r="A89" s="5">
        <v>8</v>
      </c>
      <c r="B89" s="6" t="s">
        <v>6678</v>
      </c>
      <c r="C89" s="6" t="s">
        <v>6755</v>
      </c>
    </row>
    <row r="90" spans="1:3">
      <c r="A90" s="5">
        <v>9</v>
      </c>
      <c r="B90" s="6" t="s">
        <v>6679</v>
      </c>
      <c r="C90" s="6" t="s">
        <v>6756</v>
      </c>
    </row>
    <row r="91" spans="1:3">
      <c r="A91" s="5">
        <v>10</v>
      </c>
      <c r="B91" s="6" t="s">
        <v>6680</v>
      </c>
      <c r="C91" s="6" t="s">
        <v>6757</v>
      </c>
    </row>
  </sheetData>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32661-A2CE-461B-A7F5-6C4F9505BCA6}">
  <sheetPr codeName="Лист63">
    <tabColor rgb="FFFFFF00"/>
  </sheetPr>
  <dimension ref="A1:I93"/>
  <sheetViews>
    <sheetView topLeftCell="A40" workbookViewId="0">
      <selection activeCell="U96" sqref="U96"/>
    </sheetView>
  </sheetViews>
  <sheetFormatPr defaultRowHeight="15"/>
  <cols>
    <col min="1" max="16384" width="9.140625" style="6"/>
  </cols>
  <sheetData>
    <row r="1" spans="1:9" ht="18.75">
      <c r="A1" s="4" t="s">
        <v>5856</v>
      </c>
    </row>
    <row r="2" spans="1:9" ht="18.75">
      <c r="A2" s="4"/>
    </row>
    <row r="3" spans="1:9">
      <c r="A3" s="3" t="s">
        <v>5857</v>
      </c>
      <c r="E3" s="3" t="s">
        <v>5877</v>
      </c>
      <c r="I3" s="3" t="s">
        <v>5904</v>
      </c>
    </row>
    <row r="4" spans="1:9">
      <c r="A4" s="5" t="s">
        <v>5858</v>
      </c>
      <c r="E4" s="5" t="s">
        <v>5878</v>
      </c>
      <c r="I4" s="5" t="s">
        <v>5905</v>
      </c>
    </row>
    <row r="5" spans="1:9">
      <c r="A5" s="5" t="s">
        <v>5859</v>
      </c>
      <c r="E5" s="5" t="s">
        <v>5879</v>
      </c>
      <c r="I5" s="5" t="s">
        <v>5906</v>
      </c>
    </row>
    <row r="6" spans="1:9">
      <c r="A6" s="5" t="s">
        <v>5860</v>
      </c>
      <c r="E6" s="5" t="s">
        <v>5880</v>
      </c>
      <c r="I6" s="5" t="s">
        <v>5907</v>
      </c>
    </row>
    <row r="7" spans="1:9">
      <c r="A7" s="5" t="s">
        <v>5861</v>
      </c>
      <c r="E7" s="5" t="s">
        <v>5881</v>
      </c>
      <c r="I7" s="5" t="s">
        <v>5908</v>
      </c>
    </row>
    <row r="8" spans="1:9">
      <c r="A8" s="5" t="s">
        <v>5862</v>
      </c>
      <c r="E8" s="5" t="s">
        <v>5882</v>
      </c>
      <c r="I8" s="5" t="s">
        <v>5909</v>
      </c>
    </row>
    <row r="9" spans="1:9">
      <c r="A9" s="5" t="s">
        <v>5863</v>
      </c>
      <c r="E9" s="5" t="s">
        <v>5883</v>
      </c>
      <c r="I9" s="5" t="s">
        <v>5910</v>
      </c>
    </row>
    <row r="10" spans="1:9">
      <c r="A10" s="5" t="s">
        <v>5864</v>
      </c>
      <c r="E10" s="5" t="s">
        <v>5884</v>
      </c>
      <c r="I10" s="5" t="s">
        <v>5911</v>
      </c>
    </row>
    <row r="11" spans="1:9">
      <c r="A11" s="5" t="s">
        <v>3238</v>
      </c>
      <c r="E11" s="5" t="s">
        <v>5885</v>
      </c>
      <c r="I11" s="5" t="s">
        <v>5912</v>
      </c>
    </row>
    <row r="12" spans="1:9">
      <c r="A12" s="5" t="s">
        <v>5865</v>
      </c>
      <c r="E12" s="5" t="s">
        <v>5886</v>
      </c>
    </row>
    <row r="13" spans="1:9">
      <c r="A13" s="5" t="s">
        <v>5866</v>
      </c>
      <c r="E13" s="5" t="s">
        <v>5887</v>
      </c>
      <c r="I13" s="3" t="s">
        <v>5890</v>
      </c>
    </row>
    <row r="14" spans="1:9">
      <c r="A14" s="5" t="s">
        <v>5867</v>
      </c>
      <c r="E14" s="5" t="s">
        <v>5888</v>
      </c>
      <c r="I14" s="5" t="s">
        <v>1057</v>
      </c>
    </row>
    <row r="15" spans="1:9">
      <c r="A15" s="5" t="s">
        <v>5868</v>
      </c>
      <c r="E15" s="5" t="s">
        <v>5889</v>
      </c>
      <c r="I15" s="5" t="s">
        <v>1058</v>
      </c>
    </row>
    <row r="16" spans="1:9">
      <c r="A16" s="5" t="s">
        <v>5869</v>
      </c>
      <c r="I16" s="5" t="s">
        <v>5891</v>
      </c>
    </row>
    <row r="17" spans="1:9">
      <c r="A17" s="5" t="s">
        <v>5870</v>
      </c>
      <c r="E17" s="3" t="s">
        <v>5897</v>
      </c>
      <c r="I17" s="5" t="s">
        <v>1060</v>
      </c>
    </row>
    <row r="18" spans="1:9">
      <c r="A18" s="5" t="s">
        <v>5871</v>
      </c>
      <c r="E18" s="5" t="s">
        <v>5898</v>
      </c>
      <c r="I18" s="5" t="s">
        <v>1061</v>
      </c>
    </row>
    <row r="19" spans="1:9">
      <c r="A19" s="5" t="s">
        <v>5872</v>
      </c>
      <c r="E19" s="5" t="s">
        <v>5899</v>
      </c>
      <c r="I19" s="5" t="s">
        <v>5892</v>
      </c>
    </row>
    <row r="20" spans="1:9">
      <c r="A20" s="5" t="s">
        <v>5873</v>
      </c>
      <c r="E20" s="5" t="s">
        <v>5900</v>
      </c>
      <c r="I20" s="5" t="s">
        <v>5893</v>
      </c>
    </row>
    <row r="21" spans="1:9">
      <c r="A21" s="5" t="s">
        <v>5874</v>
      </c>
      <c r="E21" s="5" t="s">
        <v>5901</v>
      </c>
      <c r="I21" s="5" t="s">
        <v>5894</v>
      </c>
    </row>
    <row r="22" spans="1:9">
      <c r="A22" s="5" t="s">
        <v>5875</v>
      </c>
      <c r="E22" s="5" t="s">
        <v>5902</v>
      </c>
      <c r="I22" s="5" t="s">
        <v>5895</v>
      </c>
    </row>
    <row r="23" spans="1:9">
      <c r="A23" s="5" t="s">
        <v>5876</v>
      </c>
      <c r="E23" s="5" t="s">
        <v>5903</v>
      </c>
      <c r="I23" s="5" t="s">
        <v>5896</v>
      </c>
    </row>
    <row r="25" spans="1:9">
      <c r="A25" s="3" t="s">
        <v>5913</v>
      </c>
      <c r="E25" s="3" t="s">
        <v>5915</v>
      </c>
      <c r="I25" s="3" t="s">
        <v>5960</v>
      </c>
    </row>
    <row r="26" spans="1:9">
      <c r="A26" s="5" t="s">
        <v>1089</v>
      </c>
      <c r="E26" s="5" t="s">
        <v>1098</v>
      </c>
      <c r="I26" s="5" t="s">
        <v>5961</v>
      </c>
    </row>
    <row r="27" spans="1:9">
      <c r="A27" s="5" t="s">
        <v>1090</v>
      </c>
      <c r="E27" s="5" t="s">
        <v>5916</v>
      </c>
      <c r="I27" s="5" t="s">
        <v>5962</v>
      </c>
    </row>
    <row r="28" spans="1:9">
      <c r="A28" s="5" t="s">
        <v>1091</v>
      </c>
      <c r="E28" s="5" t="s">
        <v>5917</v>
      </c>
      <c r="I28" s="5" t="s">
        <v>5963</v>
      </c>
    </row>
    <row r="29" spans="1:9">
      <c r="A29" s="5" t="s">
        <v>1092</v>
      </c>
      <c r="E29" s="5" t="s">
        <v>5918</v>
      </c>
      <c r="I29" s="5" t="s">
        <v>5964</v>
      </c>
    </row>
    <row r="30" spans="1:9">
      <c r="A30" s="5" t="s">
        <v>1093</v>
      </c>
      <c r="E30" s="5" t="s">
        <v>5919</v>
      </c>
      <c r="I30" s="5" t="s">
        <v>5965</v>
      </c>
    </row>
    <row r="31" spans="1:9">
      <c r="A31" s="5" t="s">
        <v>1094</v>
      </c>
      <c r="E31" s="5" t="s">
        <v>5920</v>
      </c>
      <c r="I31" s="5" t="s">
        <v>5966</v>
      </c>
    </row>
    <row r="32" spans="1:9">
      <c r="A32" s="5" t="s">
        <v>5914</v>
      </c>
    </row>
    <row r="33" spans="1:5">
      <c r="A33" s="5" t="s">
        <v>1096</v>
      </c>
    </row>
    <row r="35" spans="1:5">
      <c r="A35" s="3" t="s">
        <v>1104</v>
      </c>
      <c r="E35" s="3" t="s">
        <v>517</v>
      </c>
    </row>
    <row r="36" spans="1:5">
      <c r="A36" s="5" t="s">
        <v>5921</v>
      </c>
      <c r="E36" s="5" t="s">
        <v>1125</v>
      </c>
    </row>
    <row r="37" spans="1:5">
      <c r="A37" s="5" t="s">
        <v>5922</v>
      </c>
      <c r="E37" s="5" t="s">
        <v>5941</v>
      </c>
    </row>
    <row r="38" spans="1:5">
      <c r="A38" s="5" t="s">
        <v>5923</v>
      </c>
      <c r="E38" s="5" t="s">
        <v>5942</v>
      </c>
    </row>
    <row r="39" spans="1:5">
      <c r="A39" s="5" t="s">
        <v>5924</v>
      </c>
      <c r="E39" s="5" t="s">
        <v>5943</v>
      </c>
    </row>
    <row r="40" spans="1:5">
      <c r="A40" s="5" t="s">
        <v>5925</v>
      </c>
      <c r="E40" s="5" t="s">
        <v>5944</v>
      </c>
    </row>
    <row r="41" spans="1:5">
      <c r="A41" s="5" t="s">
        <v>5926</v>
      </c>
      <c r="E41" s="5" t="s">
        <v>5945</v>
      </c>
    </row>
    <row r="42" spans="1:5">
      <c r="A42" s="5" t="s">
        <v>5927</v>
      </c>
      <c r="E42" s="5" t="s">
        <v>5946</v>
      </c>
    </row>
    <row r="43" spans="1:5">
      <c r="A43" s="5" t="s">
        <v>5928</v>
      </c>
      <c r="E43" s="5" t="s">
        <v>5947</v>
      </c>
    </row>
    <row r="44" spans="1:5">
      <c r="A44" s="5" t="s">
        <v>5929</v>
      </c>
      <c r="E44" s="5" t="s">
        <v>5948</v>
      </c>
    </row>
    <row r="45" spans="1:5">
      <c r="A45" s="5" t="s">
        <v>5930</v>
      </c>
      <c r="E45" s="5" t="s">
        <v>5949</v>
      </c>
    </row>
    <row r="46" spans="1:5">
      <c r="A46" s="5" t="s">
        <v>5931</v>
      </c>
      <c r="E46" s="5" t="s">
        <v>5950</v>
      </c>
    </row>
    <row r="47" spans="1:5">
      <c r="A47" s="5" t="s">
        <v>5932</v>
      </c>
      <c r="E47" s="5" t="s">
        <v>5951</v>
      </c>
    </row>
    <row r="48" spans="1:5">
      <c r="A48" s="5" t="s">
        <v>5933</v>
      </c>
      <c r="E48" s="5" t="s">
        <v>5952</v>
      </c>
    </row>
    <row r="49" spans="1:5">
      <c r="A49" s="5" t="s">
        <v>5934</v>
      </c>
      <c r="E49" s="5" t="s">
        <v>5953</v>
      </c>
    </row>
    <row r="50" spans="1:5">
      <c r="A50" s="5" t="s">
        <v>5935</v>
      </c>
      <c r="E50" s="5" t="s">
        <v>5954</v>
      </c>
    </row>
    <row r="51" spans="1:5">
      <c r="A51" s="5" t="s">
        <v>5936</v>
      </c>
      <c r="E51" s="5" t="s">
        <v>5955</v>
      </c>
    </row>
    <row r="52" spans="1:5">
      <c r="A52" s="5" t="s">
        <v>5937</v>
      </c>
      <c r="E52" s="5" t="s">
        <v>5956</v>
      </c>
    </row>
    <row r="53" spans="1:5">
      <c r="A53" s="5" t="s">
        <v>5938</v>
      </c>
      <c r="E53" s="5" t="s">
        <v>5957</v>
      </c>
    </row>
    <row r="54" spans="1:5">
      <c r="A54" s="5" t="s">
        <v>5939</v>
      </c>
      <c r="E54" s="5" t="s">
        <v>5958</v>
      </c>
    </row>
    <row r="55" spans="1:5">
      <c r="A55" s="5" t="s">
        <v>5940</v>
      </c>
      <c r="E55" s="5" t="s">
        <v>5959</v>
      </c>
    </row>
    <row r="56" spans="1:5">
      <c r="A56" s="5"/>
    </row>
    <row r="57" spans="1:5">
      <c r="A57" s="3" t="s">
        <v>5967</v>
      </c>
    </row>
    <row r="58" spans="1:5">
      <c r="A58" s="3" t="s">
        <v>5968</v>
      </c>
    </row>
    <row r="59" spans="1:5">
      <c r="A59" s="5" t="s">
        <v>5969</v>
      </c>
    </row>
    <row r="60" spans="1:5">
      <c r="A60" s="5" t="s">
        <v>5970</v>
      </c>
    </row>
    <row r="61" spans="1:5">
      <c r="A61" s="5" t="s">
        <v>5971</v>
      </c>
    </row>
    <row r="62" spans="1:5">
      <c r="A62" s="5" t="s">
        <v>5972</v>
      </c>
    </row>
    <row r="63" spans="1:5">
      <c r="A63" s="5" t="s">
        <v>5973</v>
      </c>
    </row>
    <row r="64" spans="1:5">
      <c r="A64" s="5" t="s">
        <v>5974</v>
      </c>
    </row>
    <row r="65" spans="1:1">
      <c r="A65" s="5" t="s">
        <v>5975</v>
      </c>
    </row>
    <row r="66" spans="1:1">
      <c r="A66" s="5" t="s">
        <v>5976</v>
      </c>
    </row>
    <row r="67" spans="1:1">
      <c r="A67" s="5" t="s">
        <v>5977</v>
      </c>
    </row>
    <row r="68" spans="1:1">
      <c r="A68" s="5" t="s">
        <v>5978</v>
      </c>
    </row>
    <row r="69" spans="1:1">
      <c r="A69" s="5" t="s">
        <v>5979</v>
      </c>
    </row>
    <row r="70" spans="1:1">
      <c r="A70" s="5" t="s">
        <v>5980</v>
      </c>
    </row>
    <row r="71" spans="1:1">
      <c r="A71" s="5" t="s">
        <v>5981</v>
      </c>
    </row>
    <row r="72" spans="1:1">
      <c r="A72" s="5" t="s">
        <v>5982</v>
      </c>
    </row>
    <row r="73" spans="1:1">
      <c r="A73" s="5" t="s">
        <v>5983</v>
      </c>
    </row>
    <row r="74" spans="1:1">
      <c r="A74" s="5" t="s">
        <v>5984</v>
      </c>
    </row>
    <row r="75" spans="1:1">
      <c r="A75" s="5" t="s">
        <v>5985</v>
      </c>
    </row>
    <row r="76" spans="1:1">
      <c r="A76" s="5" t="s">
        <v>5986</v>
      </c>
    </row>
    <row r="77" spans="1:1">
      <c r="A77" s="5" t="s">
        <v>5987</v>
      </c>
    </row>
    <row r="78" spans="1:1">
      <c r="A78" s="5" t="s">
        <v>5988</v>
      </c>
    </row>
    <row r="79" spans="1:1">
      <c r="A79" s="5"/>
    </row>
    <row r="80" spans="1:1">
      <c r="A80" s="3" t="s">
        <v>5989</v>
      </c>
    </row>
    <row r="81" spans="1:5">
      <c r="A81" s="3" t="s">
        <v>5990</v>
      </c>
      <c r="E81" s="3" t="s">
        <v>6003</v>
      </c>
    </row>
    <row r="82" spans="1:5">
      <c r="A82" s="5" t="s">
        <v>5991</v>
      </c>
      <c r="E82" s="5" t="s">
        <v>6004</v>
      </c>
    </row>
    <row r="83" spans="1:5">
      <c r="A83" s="5" t="s">
        <v>5992</v>
      </c>
      <c r="E83" s="5" t="s">
        <v>6005</v>
      </c>
    </row>
    <row r="84" spans="1:5">
      <c r="A84" s="5" t="s">
        <v>5993</v>
      </c>
      <c r="E84" s="5" t="s">
        <v>6006</v>
      </c>
    </row>
    <row r="85" spans="1:5">
      <c r="A85" s="5" t="s">
        <v>5994</v>
      </c>
      <c r="E85" s="5" t="s">
        <v>6007</v>
      </c>
    </row>
    <row r="86" spans="1:5">
      <c r="A86" s="5" t="s">
        <v>5995</v>
      </c>
      <c r="E86" s="5" t="s">
        <v>6008</v>
      </c>
    </row>
    <row r="87" spans="1:5">
      <c r="A87" s="5" t="s">
        <v>5996</v>
      </c>
      <c r="E87" s="5" t="s">
        <v>6009</v>
      </c>
    </row>
    <row r="88" spans="1:5">
      <c r="A88" s="5" t="s">
        <v>5997</v>
      </c>
      <c r="E88" s="5" t="s">
        <v>6010</v>
      </c>
    </row>
    <row r="89" spans="1:5">
      <c r="A89" s="5" t="s">
        <v>5998</v>
      </c>
      <c r="E89" s="5" t="s">
        <v>6011</v>
      </c>
    </row>
    <row r="90" spans="1:5">
      <c r="A90" s="5" t="s">
        <v>5999</v>
      </c>
    </row>
    <row r="91" spans="1:5">
      <c r="A91" s="5" t="s">
        <v>6000</v>
      </c>
    </row>
    <row r="92" spans="1:5">
      <c r="A92" s="5" t="s">
        <v>6001</v>
      </c>
    </row>
    <row r="93" spans="1:5">
      <c r="A93" s="5" t="s">
        <v>6002</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E98E-F0AF-4F52-8C5F-5D7C0A1DC8AC}">
  <sheetPr codeName="Лист64">
    <tabColor rgb="FFFFFF00"/>
  </sheetPr>
  <dimension ref="A1:I28"/>
  <sheetViews>
    <sheetView workbookViewId="0">
      <selection activeCell="A3" sqref="A3:XFD3"/>
    </sheetView>
  </sheetViews>
  <sheetFormatPr defaultRowHeight="15"/>
  <cols>
    <col min="1" max="16384" width="9.140625" style="6"/>
  </cols>
  <sheetData>
    <row r="1" spans="1:9" ht="18.75">
      <c r="A1" s="4" t="s">
        <v>6012</v>
      </c>
    </row>
    <row r="2" spans="1:9">
      <c r="A2" s="14" t="s">
        <v>1153</v>
      </c>
    </row>
    <row r="3" spans="1:9">
      <c r="A3" s="14"/>
    </row>
    <row r="4" spans="1:9">
      <c r="A4" s="3" t="s">
        <v>6013</v>
      </c>
      <c r="E4" s="3" t="s">
        <v>6021</v>
      </c>
      <c r="I4" s="3" t="s">
        <v>6028</v>
      </c>
    </row>
    <row r="5" spans="1:9">
      <c r="A5" s="5" t="s">
        <v>6014</v>
      </c>
      <c r="E5" s="5" t="s">
        <v>5363</v>
      </c>
      <c r="I5" s="5" t="s">
        <v>5375</v>
      </c>
    </row>
    <row r="6" spans="1:9">
      <c r="A6" s="5" t="s">
        <v>5835</v>
      </c>
      <c r="E6" s="5" t="s">
        <v>5838</v>
      </c>
      <c r="I6" s="5" t="s">
        <v>6029</v>
      </c>
    </row>
    <row r="7" spans="1:9">
      <c r="A7" s="5" t="s">
        <v>5353</v>
      </c>
      <c r="E7" s="5" t="s">
        <v>6022</v>
      </c>
      <c r="I7" s="5" t="s">
        <v>6030</v>
      </c>
    </row>
    <row r="8" spans="1:9">
      <c r="A8" s="5" t="s">
        <v>6015</v>
      </c>
      <c r="E8" s="5" t="s">
        <v>5366</v>
      </c>
      <c r="I8" s="5" t="s">
        <v>5378</v>
      </c>
    </row>
    <row r="9" spans="1:9">
      <c r="A9" s="5" t="s">
        <v>5355</v>
      </c>
      <c r="E9" s="5" t="s">
        <v>6023</v>
      </c>
      <c r="I9" s="5" t="s">
        <v>6031</v>
      </c>
    </row>
    <row r="10" spans="1:9">
      <c r="A10" s="5" t="s">
        <v>6016</v>
      </c>
      <c r="E10" s="5" t="s">
        <v>6024</v>
      </c>
      <c r="I10" s="5" t="s">
        <v>1256</v>
      </c>
    </row>
    <row r="11" spans="1:9">
      <c r="A11" s="5" t="s">
        <v>6017</v>
      </c>
      <c r="E11" s="5" t="s">
        <v>5369</v>
      </c>
      <c r="I11" s="5" t="s">
        <v>5846</v>
      </c>
    </row>
    <row r="12" spans="1:9">
      <c r="A12" s="5" t="s">
        <v>6018</v>
      </c>
      <c r="E12" s="5" t="s">
        <v>6025</v>
      </c>
      <c r="I12" s="5" t="s">
        <v>5381</v>
      </c>
    </row>
    <row r="13" spans="1:9">
      <c r="A13" s="5" t="s">
        <v>6019</v>
      </c>
      <c r="E13" s="5" t="s">
        <v>6026</v>
      </c>
      <c r="I13" s="5" t="s">
        <v>5382</v>
      </c>
    </row>
    <row r="14" spans="1:9">
      <c r="A14" s="5" t="s">
        <v>6020</v>
      </c>
      <c r="E14" s="5" t="s">
        <v>6027</v>
      </c>
      <c r="I14" s="5" t="s">
        <v>5847</v>
      </c>
    </row>
    <row r="15" spans="1:9">
      <c r="I15" s="5" t="s">
        <v>1261</v>
      </c>
    </row>
    <row r="16" spans="1:9">
      <c r="I16" s="5" t="s">
        <v>6032</v>
      </c>
    </row>
    <row r="18" spans="1:9">
      <c r="A18" s="3" t="s">
        <v>6033</v>
      </c>
      <c r="E18" s="3" t="s">
        <v>6039</v>
      </c>
      <c r="I18" s="3" t="s">
        <v>6050</v>
      </c>
    </row>
    <row r="19" spans="1:9">
      <c r="A19" s="5" t="s">
        <v>6034</v>
      </c>
      <c r="E19" s="5" t="s">
        <v>6040</v>
      </c>
      <c r="I19" s="5" t="s">
        <v>6051</v>
      </c>
    </row>
    <row r="20" spans="1:9">
      <c r="A20" s="5" t="s">
        <v>5409</v>
      </c>
      <c r="E20" s="5" t="s">
        <v>6041</v>
      </c>
      <c r="I20" s="5" t="s">
        <v>6052</v>
      </c>
    </row>
    <row r="21" spans="1:9">
      <c r="A21" s="5" t="s">
        <v>5410</v>
      </c>
      <c r="E21" s="5" t="s">
        <v>6042</v>
      </c>
      <c r="I21" s="5" t="s">
        <v>6053</v>
      </c>
    </row>
    <row r="22" spans="1:9">
      <c r="A22" s="5" t="s">
        <v>5411</v>
      </c>
      <c r="E22" s="5" t="s">
        <v>6043</v>
      </c>
      <c r="I22" s="5" t="s">
        <v>6054</v>
      </c>
    </row>
    <row r="23" spans="1:9">
      <c r="A23" s="5" t="s">
        <v>6035</v>
      </c>
      <c r="E23" s="5" t="s">
        <v>6044</v>
      </c>
      <c r="I23" s="5" t="s">
        <v>6055</v>
      </c>
    </row>
    <row r="24" spans="1:9">
      <c r="A24" s="5" t="s">
        <v>6036</v>
      </c>
      <c r="E24" s="5" t="s">
        <v>6045</v>
      </c>
      <c r="I24" s="5" t="s">
        <v>6056</v>
      </c>
    </row>
    <row r="25" spans="1:9">
      <c r="A25" s="5" t="s">
        <v>6037</v>
      </c>
      <c r="E25" s="5" t="s">
        <v>6046</v>
      </c>
      <c r="I25" s="5" t="s">
        <v>5432</v>
      </c>
    </row>
    <row r="26" spans="1:9">
      <c r="A26" s="5" t="s">
        <v>6038</v>
      </c>
      <c r="E26" s="5" t="s">
        <v>6047</v>
      </c>
      <c r="I26" s="5" t="s">
        <v>6057</v>
      </c>
    </row>
    <row r="27" spans="1:9">
      <c r="E27" s="5" t="s">
        <v>6048</v>
      </c>
    </row>
    <row r="28" spans="1:9">
      <c r="E28" s="5" t="s">
        <v>6049</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FEA96-FE04-4631-8028-48354C71EF5F}">
  <sheetPr codeName="Лист65">
    <tabColor rgb="FFFFFF00"/>
  </sheetPr>
  <dimension ref="A1:I24"/>
  <sheetViews>
    <sheetView workbookViewId="0">
      <selection activeCell="T35" sqref="T35"/>
    </sheetView>
  </sheetViews>
  <sheetFormatPr defaultRowHeight="15"/>
  <cols>
    <col min="1" max="16384" width="9.140625" style="6"/>
  </cols>
  <sheetData>
    <row r="1" spans="1:9" ht="18.75">
      <c r="A1" s="4" t="s">
        <v>5833</v>
      </c>
    </row>
    <row r="2" spans="1:9">
      <c r="A2" s="14" t="s">
        <v>629</v>
      </c>
    </row>
    <row r="3" spans="1:9">
      <c r="A3" s="14"/>
    </row>
    <row r="4" spans="1:9">
      <c r="A4" s="3" t="s">
        <v>5834</v>
      </c>
      <c r="E4" s="3" t="s">
        <v>5837</v>
      </c>
      <c r="I4" s="3" t="s">
        <v>5843</v>
      </c>
    </row>
    <row r="5" spans="1:9">
      <c r="A5" s="5" t="s">
        <v>5351</v>
      </c>
      <c r="E5" s="5" t="s">
        <v>5363</v>
      </c>
      <c r="I5" s="5" t="s">
        <v>5408</v>
      </c>
    </row>
    <row r="6" spans="1:9">
      <c r="A6" s="5" t="s">
        <v>5835</v>
      </c>
      <c r="E6" s="5" t="s">
        <v>5838</v>
      </c>
      <c r="I6" s="5" t="s">
        <v>5409</v>
      </c>
    </row>
    <row r="7" spans="1:9">
      <c r="A7" s="5" t="s">
        <v>5353</v>
      </c>
      <c r="E7" s="5" t="s">
        <v>5839</v>
      </c>
      <c r="I7" s="5" t="s">
        <v>5410</v>
      </c>
    </row>
    <row r="8" spans="1:9">
      <c r="A8" s="5" t="s">
        <v>5354</v>
      </c>
      <c r="E8" s="5" t="s">
        <v>5840</v>
      </c>
      <c r="I8" s="5" t="s">
        <v>5411</v>
      </c>
    </row>
    <row r="9" spans="1:9">
      <c r="A9" s="5" t="s">
        <v>5355</v>
      </c>
      <c r="E9" s="5" t="s">
        <v>5841</v>
      </c>
      <c r="I9" s="5" t="s">
        <v>5412</v>
      </c>
    </row>
    <row r="10" spans="1:9">
      <c r="A10" s="5" t="s">
        <v>5836</v>
      </c>
      <c r="E10" s="5" t="s">
        <v>5842</v>
      </c>
      <c r="I10" s="5" t="s">
        <v>5413</v>
      </c>
    </row>
    <row r="12" spans="1:9">
      <c r="A12" s="3" t="s">
        <v>5844</v>
      </c>
      <c r="E12" s="3" t="s">
        <v>5848</v>
      </c>
      <c r="I12" s="3" t="s">
        <v>5849</v>
      </c>
    </row>
    <row r="13" spans="1:9">
      <c r="A13" s="5" t="s">
        <v>1419</v>
      </c>
      <c r="E13" s="5" t="s">
        <v>5387</v>
      </c>
      <c r="I13" s="5" t="s">
        <v>5850</v>
      </c>
    </row>
    <row r="14" spans="1:9">
      <c r="A14" s="5" t="s">
        <v>5376</v>
      </c>
      <c r="E14" s="5" t="s">
        <v>5388</v>
      </c>
      <c r="I14" s="5" t="s">
        <v>5851</v>
      </c>
    </row>
    <row r="15" spans="1:9">
      <c r="A15" s="5" t="s">
        <v>5377</v>
      </c>
      <c r="E15" s="5" t="s">
        <v>5389</v>
      </c>
      <c r="I15" s="5" t="s">
        <v>5852</v>
      </c>
    </row>
    <row r="16" spans="1:9">
      <c r="A16" s="5" t="s">
        <v>5378</v>
      </c>
      <c r="E16" s="5" t="s">
        <v>5390</v>
      </c>
      <c r="I16" s="5" t="s">
        <v>5853</v>
      </c>
    </row>
    <row r="17" spans="1:9">
      <c r="A17" s="5" t="s">
        <v>5845</v>
      </c>
      <c r="E17" s="5" t="s">
        <v>5391</v>
      </c>
      <c r="I17" s="5" t="s">
        <v>5854</v>
      </c>
    </row>
    <row r="18" spans="1:9">
      <c r="A18" s="5" t="s">
        <v>1256</v>
      </c>
      <c r="E18" s="5" t="s">
        <v>5392</v>
      </c>
      <c r="I18" s="5" t="s">
        <v>5855</v>
      </c>
    </row>
    <row r="19" spans="1:9">
      <c r="A19" s="5" t="s">
        <v>5846</v>
      </c>
      <c r="E19" s="5" t="s">
        <v>5393</v>
      </c>
    </row>
    <row r="20" spans="1:9">
      <c r="A20" s="5" t="s">
        <v>5381</v>
      </c>
      <c r="E20" s="5" t="s">
        <v>5394</v>
      </c>
    </row>
    <row r="21" spans="1:9">
      <c r="A21" s="5" t="s">
        <v>5382</v>
      </c>
    </row>
    <row r="22" spans="1:9">
      <c r="A22" s="5" t="s">
        <v>5847</v>
      </c>
    </row>
    <row r="23" spans="1:9">
      <c r="A23" s="5" t="s">
        <v>1261</v>
      </c>
    </row>
    <row r="24" spans="1:9">
      <c r="A24" s="5" t="s">
        <v>1262</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31827-B7DE-48CB-A1B6-94928637C2A8}">
  <sheetPr codeName="Лист66">
    <tabColor rgb="FFFFFF00"/>
  </sheetPr>
  <dimension ref="A1:M44"/>
  <sheetViews>
    <sheetView workbookViewId="0">
      <selection activeCell="M44" sqref="M44"/>
    </sheetView>
  </sheetViews>
  <sheetFormatPr defaultRowHeight="15"/>
  <cols>
    <col min="1" max="16384" width="9.140625" style="6"/>
  </cols>
  <sheetData>
    <row r="1" spans="1:13" ht="18.75">
      <c r="A1" s="4" t="s">
        <v>5256</v>
      </c>
    </row>
    <row r="2" spans="1:13">
      <c r="A2" s="3" t="s">
        <v>5257</v>
      </c>
      <c r="E2" s="3" t="s">
        <v>5278</v>
      </c>
      <c r="I2" s="3" t="s">
        <v>5287</v>
      </c>
      <c r="M2" s="3" t="s">
        <v>5278</v>
      </c>
    </row>
    <row r="3" spans="1:13">
      <c r="A3" s="5" t="s">
        <v>5258</v>
      </c>
      <c r="E3" s="5" t="s">
        <v>5279</v>
      </c>
      <c r="I3" s="5" t="s">
        <v>5288</v>
      </c>
      <c r="M3" s="5" t="s">
        <v>5279</v>
      </c>
    </row>
    <row r="4" spans="1:13">
      <c r="A4" s="5" t="s">
        <v>5259</v>
      </c>
      <c r="E4" s="5" t="s">
        <v>5280</v>
      </c>
      <c r="I4" s="5" t="s">
        <v>5289</v>
      </c>
      <c r="M4" s="5" t="s">
        <v>5280</v>
      </c>
    </row>
    <row r="5" spans="1:13">
      <c r="A5" s="5" t="s">
        <v>5260</v>
      </c>
      <c r="E5" s="5" t="s">
        <v>5281</v>
      </c>
      <c r="I5" s="5" t="s">
        <v>5290</v>
      </c>
      <c r="M5" s="5" t="s">
        <v>5281</v>
      </c>
    </row>
    <row r="6" spans="1:13">
      <c r="A6" s="5" t="s">
        <v>5261</v>
      </c>
      <c r="E6" s="5" t="s">
        <v>5282</v>
      </c>
      <c r="I6" s="5" t="s">
        <v>5291</v>
      </c>
      <c r="M6" s="5" t="s">
        <v>5282</v>
      </c>
    </row>
    <row r="7" spans="1:13">
      <c r="A7" s="5" t="s">
        <v>5262</v>
      </c>
      <c r="E7" s="5" t="s">
        <v>5283</v>
      </c>
      <c r="I7" s="5" t="s">
        <v>5292</v>
      </c>
      <c r="M7" s="5" t="s">
        <v>5283</v>
      </c>
    </row>
    <row r="8" spans="1:13">
      <c r="A8" s="5" t="s">
        <v>5263</v>
      </c>
      <c r="E8" s="5" t="s">
        <v>5284</v>
      </c>
      <c r="I8" s="5" t="s">
        <v>5293</v>
      </c>
      <c r="M8" s="5" t="s">
        <v>5284</v>
      </c>
    </row>
    <row r="9" spans="1:13">
      <c r="A9" s="5" t="s">
        <v>5264</v>
      </c>
      <c r="E9" s="5" t="s">
        <v>5285</v>
      </c>
      <c r="I9" s="5" t="s">
        <v>5294</v>
      </c>
      <c r="M9" s="5" t="s">
        <v>5285</v>
      </c>
    </row>
    <row r="10" spans="1:13">
      <c r="A10" s="5" t="s">
        <v>5265</v>
      </c>
      <c r="E10" s="5" t="s">
        <v>5286</v>
      </c>
      <c r="I10" s="5" t="s">
        <v>5295</v>
      </c>
      <c r="M10" s="5" t="s">
        <v>5286</v>
      </c>
    </row>
    <row r="11" spans="1:13">
      <c r="A11" s="5" t="s">
        <v>5266</v>
      </c>
      <c r="I11" s="5" t="s">
        <v>5296</v>
      </c>
    </row>
    <row r="12" spans="1:13">
      <c r="A12" s="5" t="s">
        <v>5267</v>
      </c>
      <c r="I12" s="5" t="s">
        <v>5297</v>
      </c>
    </row>
    <row r="13" spans="1:13">
      <c r="A13" s="5" t="s">
        <v>5268</v>
      </c>
      <c r="I13" s="5" t="s">
        <v>5298</v>
      </c>
    </row>
    <row r="14" spans="1:13">
      <c r="A14" s="5" t="s">
        <v>5269</v>
      </c>
      <c r="I14" s="5" t="s">
        <v>5299</v>
      </c>
    </row>
    <row r="15" spans="1:13">
      <c r="A15" s="5" t="s">
        <v>5270</v>
      </c>
      <c r="I15" s="5" t="s">
        <v>5300</v>
      </c>
    </row>
    <row r="16" spans="1:13">
      <c r="A16" s="5" t="s">
        <v>5271</v>
      </c>
      <c r="I16" s="5" t="s">
        <v>5301</v>
      </c>
    </row>
    <row r="17" spans="1:9">
      <c r="A17" s="5" t="s">
        <v>5272</v>
      </c>
      <c r="I17" s="5" t="s">
        <v>5302</v>
      </c>
    </row>
    <row r="18" spans="1:9">
      <c r="A18" s="5" t="s">
        <v>5273</v>
      </c>
      <c r="I18" s="5" t="s">
        <v>5303</v>
      </c>
    </row>
    <row r="19" spans="1:9">
      <c r="A19" s="5" t="s">
        <v>5274</v>
      </c>
      <c r="I19" s="5" t="s">
        <v>5304</v>
      </c>
    </row>
    <row r="20" spans="1:9">
      <c r="A20" s="5" t="s">
        <v>5275</v>
      </c>
      <c r="I20" s="5" t="s">
        <v>5305</v>
      </c>
    </row>
    <row r="21" spans="1:9">
      <c r="A21" s="5" t="s">
        <v>5276</v>
      </c>
      <c r="I21" s="5" t="s">
        <v>5306</v>
      </c>
    </row>
    <row r="22" spans="1:9">
      <c r="A22" s="5" t="s">
        <v>5277</v>
      </c>
      <c r="I22" s="5" t="s">
        <v>5307</v>
      </c>
    </row>
    <row r="24" spans="1:9">
      <c r="A24" s="3" t="s">
        <v>5287</v>
      </c>
      <c r="E24" s="3" t="s">
        <v>5278</v>
      </c>
      <c r="I24" s="3" t="s">
        <v>5328</v>
      </c>
    </row>
    <row r="25" spans="1:9">
      <c r="A25" s="5" t="s">
        <v>5308</v>
      </c>
      <c r="E25" s="5" t="s">
        <v>5279</v>
      </c>
      <c r="I25" s="5" t="s">
        <v>5329</v>
      </c>
    </row>
    <row r="26" spans="1:9">
      <c r="A26" s="5" t="s">
        <v>5309</v>
      </c>
      <c r="E26" s="5" t="s">
        <v>5280</v>
      </c>
      <c r="I26" s="5" t="s">
        <v>5330</v>
      </c>
    </row>
    <row r="27" spans="1:9">
      <c r="A27" s="5" t="s">
        <v>5310</v>
      </c>
      <c r="E27" s="5" t="s">
        <v>5281</v>
      </c>
      <c r="I27" s="5" t="s">
        <v>5331</v>
      </c>
    </row>
    <row r="28" spans="1:9">
      <c r="A28" s="5" t="s">
        <v>5311</v>
      </c>
      <c r="E28" s="5" t="s">
        <v>5282</v>
      </c>
      <c r="I28" s="5" t="s">
        <v>5332</v>
      </c>
    </row>
    <row r="29" spans="1:9">
      <c r="A29" s="5" t="s">
        <v>5312</v>
      </c>
      <c r="E29" s="5" t="s">
        <v>5283</v>
      </c>
      <c r="I29" s="5" t="s">
        <v>5333</v>
      </c>
    </row>
    <row r="30" spans="1:9">
      <c r="A30" s="5" t="s">
        <v>5313</v>
      </c>
      <c r="E30" s="5" t="s">
        <v>5284</v>
      </c>
      <c r="I30" s="5" t="s">
        <v>5334</v>
      </c>
    </row>
    <row r="31" spans="1:9">
      <c r="A31" s="5" t="s">
        <v>5314</v>
      </c>
      <c r="E31" s="5" t="s">
        <v>5285</v>
      </c>
      <c r="I31" s="5" t="s">
        <v>5335</v>
      </c>
    </row>
    <row r="32" spans="1:9">
      <c r="A32" s="5" t="s">
        <v>5315</v>
      </c>
      <c r="E32" s="5" t="s">
        <v>5286</v>
      </c>
      <c r="I32" s="5" t="s">
        <v>5336</v>
      </c>
    </row>
    <row r="33" spans="1:9">
      <c r="A33" s="5" t="s">
        <v>5316</v>
      </c>
      <c r="I33" s="5" t="s">
        <v>5337</v>
      </c>
    </row>
    <row r="34" spans="1:9">
      <c r="A34" s="5" t="s">
        <v>5317</v>
      </c>
      <c r="I34" s="5" t="s">
        <v>5338</v>
      </c>
    </row>
    <row r="35" spans="1:9">
      <c r="A35" s="5" t="s">
        <v>5318</v>
      </c>
      <c r="I35" s="5" t="s">
        <v>5339</v>
      </c>
    </row>
    <row r="36" spans="1:9">
      <c r="A36" s="5" t="s">
        <v>5319</v>
      </c>
      <c r="I36" s="5" t="s">
        <v>5340</v>
      </c>
    </row>
    <row r="37" spans="1:9">
      <c r="A37" s="5" t="s">
        <v>5320</v>
      </c>
      <c r="I37" s="5" t="s">
        <v>5341</v>
      </c>
    </row>
    <row r="38" spans="1:9">
      <c r="A38" s="5" t="s">
        <v>5321</v>
      </c>
      <c r="I38" s="5" t="s">
        <v>5342</v>
      </c>
    </row>
    <row r="39" spans="1:9">
      <c r="A39" s="5" t="s">
        <v>5322</v>
      </c>
      <c r="I39" s="5" t="s">
        <v>5343</v>
      </c>
    </row>
    <row r="40" spans="1:9">
      <c r="A40" s="5" t="s">
        <v>5323</v>
      </c>
      <c r="I40" s="5" t="s">
        <v>5344</v>
      </c>
    </row>
    <row r="41" spans="1:9">
      <c r="A41" s="5" t="s">
        <v>5324</v>
      </c>
      <c r="I41" s="5" t="s">
        <v>5345</v>
      </c>
    </row>
    <row r="42" spans="1:9">
      <c r="A42" s="5" t="s">
        <v>5325</v>
      </c>
      <c r="I42" s="5" t="s">
        <v>5346</v>
      </c>
    </row>
    <row r="43" spans="1:9">
      <c r="A43" s="5" t="s">
        <v>5326</v>
      </c>
      <c r="I43" s="5" t="s">
        <v>5347</v>
      </c>
    </row>
    <row r="44" spans="1:9">
      <c r="A44" s="5" t="s">
        <v>5327</v>
      </c>
      <c r="I44" s="5" t="s">
        <v>5348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9943D-9EDA-4185-A3AE-3E495F7627FF}">
  <sheetPr codeName="Лист67">
    <tabColor rgb="FFFFFF00"/>
  </sheetPr>
  <dimension ref="A1:I31"/>
  <sheetViews>
    <sheetView workbookViewId="0">
      <selection activeCell="K8" sqref="K8"/>
    </sheetView>
  </sheetViews>
  <sheetFormatPr defaultRowHeight="15"/>
  <cols>
    <col min="1" max="16384" width="9.140625" style="6"/>
  </cols>
  <sheetData>
    <row r="1" spans="1:9" ht="18.75">
      <c r="A1" s="4" t="s">
        <v>5753</v>
      </c>
    </row>
    <row r="2" spans="1:9" ht="18.75">
      <c r="A2" s="4"/>
    </row>
    <row r="3" spans="1:9">
      <c r="A3" s="3" t="s">
        <v>5754</v>
      </c>
      <c r="E3" s="3" t="s">
        <v>5767</v>
      </c>
      <c r="I3" s="3" t="s">
        <v>5780</v>
      </c>
    </row>
    <row r="4" spans="1:9">
      <c r="A4" s="5" t="s">
        <v>5755</v>
      </c>
      <c r="E4" s="5" t="s">
        <v>5768</v>
      </c>
      <c r="I4" s="5" t="s">
        <v>5781</v>
      </c>
    </row>
    <row r="5" spans="1:9">
      <c r="A5" s="5" t="s">
        <v>5756</v>
      </c>
      <c r="E5" s="5" t="s">
        <v>5769</v>
      </c>
      <c r="I5" s="5" t="s">
        <v>5782</v>
      </c>
    </row>
    <row r="6" spans="1:9">
      <c r="A6" s="5" t="s">
        <v>5757</v>
      </c>
      <c r="E6" s="5" t="s">
        <v>5770</v>
      </c>
      <c r="I6" s="5" t="s">
        <v>5783</v>
      </c>
    </row>
    <row r="7" spans="1:9">
      <c r="A7" s="5" t="s">
        <v>5758</v>
      </c>
      <c r="E7" s="5" t="s">
        <v>5771</v>
      </c>
      <c r="I7" s="5" t="s">
        <v>5784</v>
      </c>
    </row>
    <row r="8" spans="1:9">
      <c r="A8" s="5" t="s">
        <v>5759</v>
      </c>
      <c r="E8" s="5" t="s">
        <v>5772</v>
      </c>
      <c r="I8" s="5" t="s">
        <v>5785</v>
      </c>
    </row>
    <row r="9" spans="1:9">
      <c r="A9" s="5" t="s">
        <v>5760</v>
      </c>
      <c r="E9" s="5" t="s">
        <v>5773</v>
      </c>
      <c r="I9" s="5" t="s">
        <v>5786</v>
      </c>
    </row>
    <row r="10" spans="1:9">
      <c r="A10" s="5" t="s">
        <v>5761</v>
      </c>
      <c r="E10" s="5" t="s">
        <v>5774</v>
      </c>
      <c r="I10" s="5" t="s">
        <v>5787</v>
      </c>
    </row>
    <row r="11" spans="1:9">
      <c r="A11" s="5" t="s">
        <v>5762</v>
      </c>
      <c r="E11" s="5" t="s">
        <v>5775</v>
      </c>
      <c r="I11" s="5" t="s">
        <v>5788</v>
      </c>
    </row>
    <row r="12" spans="1:9">
      <c r="A12" s="5" t="s">
        <v>5763</v>
      </c>
      <c r="E12" s="5" t="s">
        <v>5776</v>
      </c>
      <c r="I12" s="5" t="s">
        <v>5789</v>
      </c>
    </row>
    <row r="13" spans="1:9">
      <c r="A13" s="5" t="s">
        <v>5764</v>
      </c>
      <c r="E13" s="5" t="s">
        <v>5777</v>
      </c>
      <c r="I13" s="5" t="s">
        <v>5790</v>
      </c>
    </row>
    <row r="14" spans="1:9">
      <c r="A14" s="5" t="s">
        <v>5765</v>
      </c>
      <c r="E14" s="5" t="s">
        <v>5778</v>
      </c>
      <c r="I14" s="5" t="s">
        <v>5791</v>
      </c>
    </row>
    <row r="15" spans="1:9">
      <c r="A15" s="5" t="s">
        <v>5766</v>
      </c>
      <c r="E15" s="5" t="s">
        <v>5779</v>
      </c>
      <c r="I15" s="5" t="s">
        <v>5792</v>
      </c>
    </row>
    <row r="17" spans="1:9">
      <c r="A17" s="3" t="s">
        <v>5793</v>
      </c>
      <c r="E17" s="3" t="s">
        <v>5806</v>
      </c>
      <c r="I17" s="3" t="s">
        <v>5819</v>
      </c>
    </row>
    <row r="18" spans="1:9">
      <c r="A18" s="5" t="s">
        <v>5794</v>
      </c>
      <c r="E18" s="5" t="s">
        <v>5807</v>
      </c>
      <c r="I18" s="5" t="s">
        <v>5820</v>
      </c>
    </row>
    <row r="19" spans="1:9">
      <c r="A19" s="5" t="s">
        <v>5795</v>
      </c>
      <c r="E19" s="5" t="s">
        <v>5808</v>
      </c>
      <c r="I19" s="5" t="s">
        <v>5821</v>
      </c>
    </row>
    <row r="20" spans="1:9">
      <c r="A20" s="5" t="s">
        <v>5796</v>
      </c>
      <c r="E20" s="5" t="s">
        <v>5809</v>
      </c>
      <c r="I20" s="5" t="s">
        <v>5822</v>
      </c>
    </row>
    <row r="21" spans="1:9">
      <c r="A21" s="5" t="s">
        <v>5797</v>
      </c>
      <c r="E21" s="5" t="s">
        <v>5810</v>
      </c>
      <c r="I21" s="5" t="s">
        <v>5823</v>
      </c>
    </row>
    <row r="22" spans="1:9">
      <c r="A22" s="5" t="s">
        <v>5798</v>
      </c>
      <c r="E22" s="5" t="s">
        <v>5811</v>
      </c>
      <c r="I22" s="5" t="s">
        <v>5824</v>
      </c>
    </row>
    <row r="23" spans="1:9">
      <c r="A23" s="5" t="s">
        <v>5799</v>
      </c>
      <c r="E23" s="5" t="s">
        <v>5812</v>
      </c>
      <c r="I23" s="5" t="s">
        <v>5825</v>
      </c>
    </row>
    <row r="24" spans="1:9">
      <c r="A24" s="5" t="s">
        <v>5800</v>
      </c>
      <c r="E24" s="5" t="s">
        <v>5813</v>
      </c>
    </row>
    <row r="25" spans="1:9">
      <c r="A25" s="5" t="s">
        <v>5801</v>
      </c>
      <c r="E25" s="5" t="s">
        <v>5814</v>
      </c>
      <c r="I25" s="3" t="s">
        <v>5826</v>
      </c>
    </row>
    <row r="26" spans="1:9">
      <c r="A26" s="5" t="s">
        <v>5802</v>
      </c>
      <c r="E26" s="5" t="s">
        <v>5815</v>
      </c>
      <c r="I26" s="5" t="s">
        <v>5827</v>
      </c>
    </row>
    <row r="27" spans="1:9">
      <c r="A27" s="5" t="s">
        <v>5803</v>
      </c>
      <c r="E27" s="5" t="s">
        <v>5816</v>
      </c>
      <c r="I27" s="5" t="s">
        <v>5828</v>
      </c>
    </row>
    <row r="28" spans="1:9">
      <c r="A28" s="5" t="s">
        <v>5804</v>
      </c>
      <c r="E28" s="5" t="s">
        <v>5817</v>
      </c>
      <c r="I28" s="5" t="s">
        <v>5829</v>
      </c>
    </row>
    <row r="29" spans="1:9">
      <c r="A29" s="5" t="s">
        <v>5805</v>
      </c>
      <c r="E29" s="5" t="s">
        <v>5818</v>
      </c>
      <c r="I29" s="5" t="s">
        <v>5830</v>
      </c>
    </row>
    <row r="30" spans="1:9">
      <c r="I30" s="5" t="s">
        <v>5831</v>
      </c>
    </row>
    <row r="31" spans="1:9">
      <c r="I31" s="5" t="s">
        <v>5832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83388E-80FF-4509-89C4-2DB832F93F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73</vt:i4>
      </vt:variant>
    </vt:vector>
  </HeadingPairs>
  <TitlesOfParts>
    <vt:vector size="73" baseType="lpstr">
      <vt:lpstr>Размер</vt:lpstr>
      <vt:lpstr>Планировка города</vt:lpstr>
      <vt:lpstr>Здания</vt:lpstr>
      <vt:lpstr>О Поселении</vt:lpstr>
      <vt:lpstr>Что в таверне...</vt:lpstr>
      <vt:lpstr>Бордель</vt:lpstr>
      <vt:lpstr>Путаны</vt:lpstr>
      <vt:lpstr>Замок</vt:lpstr>
      <vt:lpstr>Принцесса</vt:lpstr>
      <vt:lpstr>"Дама в беде"</vt:lpstr>
      <vt:lpstr>Знатные дома</vt:lpstr>
      <vt:lpstr>Горожане</vt:lpstr>
      <vt:lpstr>Слухи и Репутация</vt:lpstr>
      <vt:lpstr>Храмы</vt:lpstr>
      <vt:lpstr>Религия</vt:lpstr>
      <vt:lpstr>Святое испытание</vt:lpstr>
      <vt:lpstr>Культ</vt:lpstr>
      <vt:lpstr>Бандиты</vt:lpstr>
      <vt:lpstr>Городские банды</vt:lpstr>
      <vt:lpstr>Подземелье</vt:lpstr>
      <vt:lpstr>Подз_Убранство</vt:lpstr>
      <vt:lpstr>События, описания</vt:lpstr>
      <vt:lpstr>Стража</vt:lpstr>
      <vt:lpstr>Пещера</vt:lpstr>
      <vt:lpstr>Подз_Воздуха</vt:lpstr>
      <vt:lpstr>Подз_Земли</vt:lpstr>
      <vt:lpstr>Подз_Огня</vt:lpstr>
      <vt:lpstr>Подз_Воды</vt:lpstr>
      <vt:lpstr>Подз_Feydark</vt:lpstr>
      <vt:lpstr>Подз_Feywild</vt:lpstr>
      <vt:lpstr>Подз_Icy</vt:lpstr>
      <vt:lpstr>Подз_Inferno</vt:lpstr>
      <vt:lpstr>Подз_Shadowfell</vt:lpstr>
      <vt:lpstr>Подз_Вулкан</vt:lpstr>
      <vt:lpstr>Башня Мага</vt:lpstr>
      <vt:lpstr>Шахты</vt:lpstr>
      <vt:lpstr>Монастырь</vt:lpstr>
      <vt:lpstr>Храм</vt:lpstr>
      <vt:lpstr>Замковые подземелья</vt:lpstr>
      <vt:lpstr>Тюрьма</vt:lpstr>
      <vt:lpstr>Канализация</vt:lpstr>
      <vt:lpstr>Торговая точка</vt:lpstr>
      <vt:lpstr>Магазин</vt:lpstr>
      <vt:lpstr>Тайное общество</vt:lpstr>
      <vt:lpstr>Гильдия убийц</vt:lpstr>
      <vt:lpstr>Воры</vt:lpstr>
      <vt:lpstr>Добыча карм.кражи</vt:lpstr>
      <vt:lpstr>Рабочая Гильдия</vt:lpstr>
      <vt:lpstr>Торговая Гильдия</vt:lpstr>
      <vt:lpstr>Торговый Караван</vt:lpstr>
      <vt:lpstr>Монеты</vt:lpstr>
      <vt:lpstr>Актерская_Труппа</vt:lpstr>
      <vt:lpstr>Песня</vt:lpstr>
      <vt:lpstr>Военный лагерь</vt:lpstr>
      <vt:lpstr>Военная компания</vt:lpstr>
      <vt:lpstr>Наемники</vt:lpstr>
      <vt:lpstr>Наемные мечи</vt:lpstr>
      <vt:lpstr>Личный наемник</vt:lpstr>
      <vt:lpstr>Рыцари</vt:lpstr>
      <vt:lpstr>Круги_Друидов</vt:lpstr>
      <vt:lpstr>Дикая Орда</vt:lpstr>
      <vt:lpstr>Корабли</vt:lpstr>
      <vt:lpstr>Моряки</vt:lpstr>
      <vt:lpstr>Команда пиратов</vt:lpstr>
      <vt:lpstr>Слухи о ...</vt:lpstr>
      <vt:lpstr>Книги</vt:lpstr>
      <vt:lpstr>Волшебный магазин</vt:lpstr>
      <vt:lpstr>Ловушки</vt:lpstr>
      <vt:lpstr>Гробница</vt:lpstr>
      <vt:lpstr>Расхитители гробниц</vt:lpstr>
      <vt:lpstr>Охотники за сокровищами</vt:lpstr>
      <vt:lpstr>Карта сокровищ</vt:lpstr>
      <vt:lpstr>Сундук сокровищ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Смирнов Роман Олегович</dc:creator>
  <cp:lastModifiedBy>Смирнов Роман Олегович</cp:lastModifiedBy>
  <dcterms:created xsi:type="dcterms:W3CDTF">2021-07-27T12:26:54Z</dcterms:created>
  <dcterms:modified xsi:type="dcterms:W3CDTF">2022-02-18T13:44:31Z</dcterms:modified>
</cp:coreProperties>
</file>